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  <sheet name="PIC Calculator" sheetId="2" state="visible" r:id="rId2"/>
    <sheet name="Record Layout" sheetId="3" state="visible" r:id="rId3"/>
    <sheet name="COMP-3 Packed Decimal" sheetId="4" state="visible" r:id="rId4"/>
    <sheet name="EBCDIC-ASCII Reference" sheetId="5" state="visible" r:id="rId5"/>
    <sheet name="ABEND Codes" sheetId="6" state="visible" r:id="rId6"/>
    <sheet name="JCL Snippets" sheetId="7" state="visible" r:id="rId7"/>
    <sheet name="File Status Codes" sheetId="8" state="visible" r:id="rId8"/>
    <sheet name="Hex-Dec Converter" sheetId="9" state="visible" r:id="rId9"/>
    <sheet name="Date Formats" sheetId="10" state="visible" r:id="rId10"/>
    <sheet name="COBOL Verbs" sheetId="11" state="visible" r:id="rId11"/>
    <sheet name="DB2-SQL Help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FFFFFF"/>
      <sz val="12"/>
    </font>
    <font>
      <name val="Calibri"/>
      <b val="1"/>
      <color rgb="00FFFFFF"/>
      <sz val="12"/>
    </font>
    <font>
      <name val="Calibri"/>
      <color rgb="0033691E"/>
      <sz val="10"/>
    </font>
    <font>
      <name val="Calibri"/>
      <i val="1"/>
      <color rgb="00FFFFFF"/>
      <sz val="9"/>
    </font>
    <font>
      <name val="Calibri"/>
      <i val="1"/>
      <color rgb="00757575"/>
      <sz val="9"/>
    </font>
    <font>
      <name val="Calibri"/>
      <b val="1"/>
      <color rgb="00FFFFFF"/>
      <sz val="14"/>
    </font>
    <font>
      <name val="Calibri"/>
      <color rgb="00555555"/>
      <sz val="9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565C0"/>
      <sz val="10"/>
    </font>
    <font>
      <name val="Calibri"/>
      <color rgb="001565C0"/>
      <sz val="9"/>
    </font>
    <font>
      <name val="Calibri"/>
      <b val="1"/>
      <color rgb="00FF8F00"/>
      <sz val="12"/>
    </font>
    <font>
      <name val="Calibri"/>
      <color rgb="001565C0"/>
      <sz val="10"/>
    </font>
    <font>
      <name val="Calibri"/>
      <b val="1"/>
      <color rgb="00FFFFFF"/>
      <sz val="10"/>
    </font>
    <font>
      <name val="Courier New"/>
      <b val="1"/>
      <sz val="12"/>
    </font>
    <font>
      <name val="Courier New"/>
      <b val="1"/>
      <sz val="10"/>
    </font>
    <font>
      <name val="Calibri"/>
      <b val="1"/>
      <color rgb="002E7D52"/>
      <sz val="10"/>
    </font>
    <font>
      <name val="Courier New"/>
      <color rgb="004A148C"/>
      <sz val="9"/>
    </font>
    <font>
      <name val="Courier New"/>
      <b val="1"/>
      <sz val="11"/>
    </font>
    <font>
      <name val="Courier New"/>
      <b val="1"/>
      <color rgb="00C62828"/>
      <sz val="11"/>
    </font>
    <font>
      <name val="Courier New"/>
      <b val="1"/>
      <color rgb="001565C0"/>
      <sz val="12"/>
    </font>
    <font>
      <name val="Courier New"/>
      <sz val="10"/>
    </font>
    <font>
      <name val="Courier New"/>
      <b val="1"/>
      <color rgb="002E7D52"/>
      <sz val="10"/>
    </font>
    <font>
      <name val="Courier New"/>
      <color rgb="001A237E"/>
      <sz val="9"/>
    </font>
    <font>
      <name val="Calibri"/>
      <b val="1"/>
      <color rgb="001F4E3D"/>
      <sz val="10"/>
    </font>
  </fonts>
  <fills count="24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2E7D52"/>
      </patternFill>
    </fill>
    <fill>
      <patternFill patternType="solid">
        <fgColor rgb="001B5E20"/>
      </patternFill>
    </fill>
    <fill>
      <patternFill patternType="solid">
        <fgColor rgb="00F9FBE7"/>
      </patternFill>
    </fill>
    <fill>
      <patternFill patternType="solid">
        <fgColor rgb="002E7D32"/>
      </patternFill>
    </fill>
    <fill>
      <patternFill patternType="solid">
        <fgColor rgb="00388E3C"/>
      </patternFill>
    </fill>
    <fill>
      <patternFill patternType="solid">
        <fgColor rgb="0043A047"/>
      </patternFill>
    </fill>
    <fill>
      <patternFill patternType="solid">
        <fgColor rgb="0066BB6A"/>
      </patternFill>
    </fill>
    <fill>
      <patternFill patternType="solid">
        <fgColor rgb="001565C0"/>
      </patternFill>
    </fill>
    <fill>
      <patternFill patternType="solid">
        <fgColor rgb="001976D2"/>
      </patternFill>
    </fill>
    <fill>
      <patternFill patternType="solid">
        <fgColor rgb="001E88E5"/>
      </patternFill>
    </fill>
    <fill>
      <patternFill patternType="solid">
        <fgColor rgb="004CAF50"/>
      </patternFill>
    </fill>
    <fill>
      <patternFill patternType="solid">
        <fgColor rgb="008BC34A"/>
      </patternFill>
    </fill>
    <fill>
      <patternFill patternType="solid">
        <fgColor rgb="00689F38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top" wrapText="1" indent="1"/>
    </xf>
    <xf numFmtId="0" fontId="5" fillId="4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3" fillId="14" borderId="0" applyAlignment="1" pivotButton="0" quotePrefix="0" xfId="0">
      <alignment horizontal="center" vertical="center" wrapText="1"/>
    </xf>
    <xf numFmtId="0" fontId="5" fillId="13" borderId="0" applyAlignment="1" pivotButton="0" quotePrefix="0" xfId="0">
      <alignment horizontal="center" vertical="center" wrapText="1"/>
    </xf>
    <xf numFmtId="0" fontId="5" fillId="14" borderId="0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center" vertical="center" wrapText="1"/>
    </xf>
    <xf numFmtId="0" fontId="5" fillId="15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left" vertical="center" wrapText="1"/>
    </xf>
    <xf numFmtId="0" fontId="10" fillId="17" borderId="1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11" fillId="18" borderId="1" pivotButton="0" quotePrefix="0" xfId="0"/>
    <xf numFmtId="0" fontId="0" fillId="19" borderId="1" pivotButton="0" quotePrefix="0" xfId="0"/>
    <xf numFmtId="0" fontId="12" fillId="16" borderId="1" pivotButton="0" quotePrefix="0" xfId="0"/>
    <xf numFmtId="0" fontId="8" fillId="18" borderId="0" applyAlignment="1" pivotButton="0" quotePrefix="0" xfId="0">
      <alignment horizontal="left" vertical="center" wrapText="1"/>
    </xf>
    <xf numFmtId="0" fontId="13" fillId="20" borderId="0" applyAlignment="1" pivotButton="0" quotePrefix="0" xfId="0">
      <alignment horizontal="left" vertical="center" wrapText="1"/>
    </xf>
    <xf numFmtId="0" fontId="10" fillId="17" borderId="1" applyAlignment="1" pivotButton="0" quotePrefix="0" xfId="0">
      <alignment horizontal="center" vertical="center" wrapText="1"/>
    </xf>
    <xf numFmtId="0" fontId="10" fillId="19" borderId="1" applyAlignment="1" pivotButton="0" quotePrefix="0" xfId="0">
      <alignment horizontal="left" vertical="center" wrapText="1"/>
    </xf>
    <xf numFmtId="0" fontId="12" fillId="17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1" fillId="17" borderId="1" pivotButton="0" quotePrefix="0" xfId="0"/>
    <xf numFmtId="0" fontId="15" fillId="17" borderId="1" pivotButton="0" quotePrefix="0" xfId="0"/>
    <xf numFmtId="0" fontId="15" fillId="18" borderId="1" pivotButton="0" quotePrefix="0" xfId="0"/>
    <xf numFmtId="0" fontId="3" fillId="2" borderId="0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7" fillId="16" borderId="1" applyAlignment="1" pivotButton="0" quotePrefix="0" xfId="0">
      <alignment horizontal="center" vertical="center" wrapText="1"/>
    </xf>
    <xf numFmtId="0" fontId="17" fillId="17" borderId="1" applyAlignment="1" pivotButton="0" quotePrefix="0" xfId="0">
      <alignment horizontal="center" vertical="center" wrapText="1"/>
    </xf>
    <xf numFmtId="0" fontId="18" fillId="16" borderId="1" applyAlignment="1" pivotButton="0" quotePrefix="0" xfId="0">
      <alignment horizontal="left" vertical="center" wrapText="1"/>
    </xf>
    <xf numFmtId="0" fontId="11" fillId="21" borderId="1" applyAlignment="1" pivotButton="0" quotePrefix="0" xfId="0">
      <alignment horizontal="center" vertical="center" wrapText="1"/>
    </xf>
    <xf numFmtId="0" fontId="18" fillId="17" borderId="1" applyAlignment="1" pivotButton="0" quotePrefix="0" xfId="0">
      <alignment horizontal="left" vertical="center" wrapText="1"/>
    </xf>
    <xf numFmtId="0" fontId="11" fillId="22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center" vertical="center" wrapText="1"/>
    </xf>
    <xf numFmtId="0" fontId="19" fillId="16" borderId="1" applyAlignment="1" pivotButton="0" quotePrefix="0" xfId="0">
      <alignment horizontal="left" vertical="center" wrapText="1"/>
    </xf>
    <xf numFmtId="0" fontId="20" fillId="23" borderId="1" applyAlignment="1" pivotButton="0" quotePrefix="0" xfId="0">
      <alignment horizontal="left" vertical="top" wrapText="1"/>
    </xf>
    <xf numFmtId="0" fontId="11" fillId="17" borderId="1" applyAlignment="1" pivotButton="0" quotePrefix="0" xfId="0">
      <alignment horizontal="center" vertical="center" wrapText="1"/>
    </xf>
    <xf numFmtId="0" fontId="19" fillId="17" borderId="1" applyAlignment="1" pivotButton="0" quotePrefix="0" xfId="0">
      <alignment horizontal="left" vertical="center" wrapText="1"/>
    </xf>
    <xf numFmtId="0" fontId="21" fillId="16" borderId="1" applyAlignment="1" pivotButton="0" quotePrefix="0" xfId="0">
      <alignment horizontal="center" vertical="center" wrapText="1"/>
    </xf>
    <xf numFmtId="0" fontId="22" fillId="19" borderId="1" applyAlignment="1" pivotButton="0" quotePrefix="0" xfId="0">
      <alignment horizontal="center" vertical="center" wrapText="1"/>
    </xf>
    <xf numFmtId="0" fontId="10" fillId="19" borderId="1" applyAlignment="1" pivotButton="0" quotePrefix="0" xfId="0">
      <alignment horizontal="center" vertical="center" wrapText="1"/>
    </xf>
    <xf numFmtId="0" fontId="22" fillId="17" borderId="1" applyAlignment="1" pivotButton="0" quotePrefix="0" xfId="0">
      <alignment horizontal="center" vertical="center" wrapText="1"/>
    </xf>
    <xf numFmtId="0" fontId="22" fillId="16" borderId="1" applyAlignment="1" pivotButton="0" quotePrefix="0" xfId="0">
      <alignment horizontal="center" vertical="center" wrapText="1"/>
    </xf>
    <xf numFmtId="0" fontId="17" fillId="19" borderId="1" pivotButton="0" quotePrefix="0" xfId="0"/>
    <xf numFmtId="0" fontId="23" fillId="16" borderId="1" pivotButton="0" quotePrefix="0" xfId="0"/>
    <xf numFmtId="0" fontId="9" fillId="3" borderId="1" applyAlignment="1" pivotButton="0" quotePrefix="0" xfId="0">
      <alignment horizontal="center" vertical="center" wrapText="1"/>
    </xf>
    <xf numFmtId="0" fontId="24" fillId="16" borderId="1" applyAlignment="1" pivotButton="0" quotePrefix="0" xfId="0">
      <alignment horizontal="center" vertical="center" wrapText="1"/>
    </xf>
    <xf numFmtId="0" fontId="24" fillId="17" borderId="1" applyAlignment="1" pivotButton="0" quotePrefix="0" xfId="0">
      <alignment horizontal="center" vertical="center" wrapText="1"/>
    </xf>
    <xf numFmtId="0" fontId="18" fillId="17" borderId="1" applyAlignment="1" pivotButton="0" quotePrefix="0" xfId="0">
      <alignment horizontal="center" vertical="center" wrapText="1"/>
    </xf>
    <xf numFmtId="0" fontId="18" fillId="16" borderId="1" applyAlignment="1" pivotButton="0" quotePrefix="0" xfId="0">
      <alignment horizontal="center" vertical="center" wrapText="1"/>
    </xf>
    <xf numFmtId="49" fontId="0" fillId="19" borderId="1" pivotButton="0" quotePrefix="0" xfId="0"/>
    <xf numFmtId="0" fontId="25" fillId="16" borderId="1" applyAlignment="1" pivotButton="0" quotePrefix="0" xfId="0">
      <alignment horizontal="left" vertical="center" wrapText="1"/>
    </xf>
    <xf numFmtId="0" fontId="20" fillId="16" borderId="1" applyAlignment="1" pivotButton="0" quotePrefix="0" xfId="0">
      <alignment horizontal="left" vertical="top" wrapText="1"/>
    </xf>
    <xf numFmtId="0" fontId="26" fillId="16" borderId="1" applyAlignment="1" pivotButton="0" quotePrefix="0" xfId="0">
      <alignment horizontal="left" vertical="top" wrapText="1"/>
    </xf>
    <xf numFmtId="0" fontId="25" fillId="17" borderId="1" applyAlignment="1" pivotButton="0" quotePrefix="0" xfId="0">
      <alignment horizontal="left" vertical="center" wrapText="1"/>
    </xf>
    <xf numFmtId="0" fontId="20" fillId="17" borderId="1" applyAlignment="1" pivotButton="0" quotePrefix="0" xfId="0">
      <alignment horizontal="left" vertical="top" wrapText="1"/>
    </xf>
    <xf numFmtId="0" fontId="26" fillId="17" borderId="1" applyAlignment="1" pivotButton="0" quotePrefix="0" xfId="0">
      <alignment horizontal="left" vertical="top" wrapText="1"/>
    </xf>
    <xf numFmtId="0" fontId="27" fillId="16" borderId="1" applyAlignment="1" pivotButton="0" quotePrefix="0" xfId="0">
      <alignment horizontal="left" vertical="center" wrapText="1"/>
    </xf>
    <xf numFmtId="0" fontId="27" fillId="1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43"/>
  <sheetViews>
    <sheetView showGridLines="0" showRowColHeader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" customWidth="1" min="12" max="12"/>
  </cols>
  <sheetData>
    <row r="2" ht="48" customHeight="1">
      <c r="B2" s="1" t="inlineStr">
        <is>
          <t>COBOL / z/OS Mainframe Developer Toolkit</t>
        </is>
      </c>
    </row>
    <row r="3" ht="24" customHeight="1">
      <c r="B3" s="2" t="inlineStr">
        <is>
          <t>Your all-in-one Excel reference — calculators, snippets, and lookup tables</t>
        </is>
      </c>
    </row>
    <row r="5" ht="22" customHeight="1">
      <c r="B5" s="3" t="inlineStr">
        <is>
          <t>PIC Clause Calculator</t>
        </is>
      </c>
      <c r="G5" s="4" t="inlineStr">
        <is>
          <t>Record Layout Designer</t>
        </is>
      </c>
    </row>
    <row r="6" ht="16" customHeight="1">
      <c r="B6" s="5" t="inlineStr">
        <is>
          <t>Calculate storage bytes for any PIC clause and USAGE combination. Includes interactive COMP-3 calculator.</t>
        </is>
      </c>
      <c r="G6" s="5" t="inlineStr">
        <is>
          <t>Document your copybook fields with auto-calculated positions. Total record length computed automatically.</t>
        </is>
      </c>
    </row>
    <row r="7" ht="16" customHeight="1"/>
    <row r="8" ht="16" customHeight="1"/>
    <row r="9" ht="14" customHeight="1">
      <c r="B9" s="6" t="inlineStr">
        <is>
          <t>→ Sheet: PIC Calculator</t>
        </is>
      </c>
      <c r="G9" s="7" t="inlineStr">
        <is>
          <t>→ Sheet: Record Layout</t>
        </is>
      </c>
    </row>
    <row r="10" ht="6" customHeight="1"/>
    <row r="11" ht="22" customHeight="1">
      <c r="B11" s="8" t="inlineStr">
        <is>
          <t>COMP-3 / Packed Decimal</t>
        </is>
      </c>
      <c r="G11" s="9" t="inlineStr">
        <is>
          <t>EBCDIC ↔ ASCII</t>
        </is>
      </c>
    </row>
    <row r="12" ht="16" customHeight="1">
      <c r="B12" s="5" t="inlineStr">
        <is>
          <t>Packed decimal reference table, encoding rules, and an interactive digits→bytes calculator.</t>
        </is>
      </c>
      <c r="G12" s="5" t="inlineStr">
        <is>
          <t>CP037 character mapping for debugging EBCDIC data transferred from z/OS to distributed systems.</t>
        </is>
      </c>
    </row>
    <row r="13" ht="16" customHeight="1"/>
    <row r="14" ht="16" customHeight="1"/>
    <row r="15" ht="14" customHeight="1">
      <c r="B15" s="10" t="inlineStr">
        <is>
          <t>→ Sheet: COMP-3 Packed Decimal</t>
        </is>
      </c>
      <c r="G15" s="11" t="inlineStr">
        <is>
          <t>→ Sheet: EBCDIC-ASCII Reference</t>
        </is>
      </c>
    </row>
    <row r="16" ht="6" customHeight="1"/>
    <row r="17" ht="22" customHeight="1">
      <c r="B17" s="12" t="inlineStr">
        <is>
          <t>ABEND Code Reference</t>
        </is>
      </c>
      <c r="G17" s="13" t="inlineStr">
        <is>
          <t>JCL Snippet Library</t>
        </is>
      </c>
    </row>
    <row r="18" ht="16" customHeight="1">
      <c r="B18" s="5" t="inlineStr">
        <is>
          <t>Common S-codes and U-codes with causes and recommended fixes for fast problem determination.</t>
        </is>
      </c>
      <c r="G18" s="5" t="inlineStr">
        <is>
          <t>18 ready-to-use JCL patterns: job cards, SORT, IDCAMS, IEBGENER, conditional logic, and more.</t>
        </is>
      </c>
    </row>
    <row r="19" ht="16" customHeight="1"/>
    <row r="20" ht="16" customHeight="1"/>
    <row r="21" ht="14" customHeight="1">
      <c r="B21" s="14" t="inlineStr">
        <is>
          <t>→ Sheet: ABEND Codes</t>
        </is>
      </c>
      <c r="G21" s="15" t="inlineStr">
        <is>
          <t>→ Sheet: JCL Snippets</t>
        </is>
      </c>
    </row>
    <row r="22" ht="6" customHeight="1"/>
    <row r="23" ht="22" customHeight="1">
      <c r="B23" s="16" t="inlineStr">
        <is>
          <t>File Status Codes</t>
        </is>
      </c>
      <c r="G23" s="17" t="inlineStr">
        <is>
          <t>Hex / Dec / Binary Converter</t>
        </is>
      </c>
    </row>
    <row r="24" ht="16" customHeight="1">
      <c r="B24" s="5" t="inlineStr">
        <is>
          <t>Complete QSAM &amp; VSAM file status code reference with common causes and recommended COBOL actions.</t>
        </is>
      </c>
      <c r="G24" s="5" t="inlineStr">
        <is>
          <t>Interactive decimal ↔ hex ↔ binary ↔ octal converter plus a quick reference table for 0–255.</t>
        </is>
      </c>
    </row>
    <row r="25" ht="16" customHeight="1"/>
    <row r="26" ht="16" customHeight="1"/>
    <row r="27" ht="14" customHeight="1">
      <c r="B27" s="18" t="inlineStr">
        <is>
          <t>→ Sheet: File Status Codes</t>
        </is>
      </c>
      <c r="G27" s="19" t="inlineStr">
        <is>
          <t>→ Sheet: Hex-Dec Converter</t>
        </is>
      </c>
    </row>
    <row r="28" ht="6" customHeight="1"/>
    <row r="29" ht="22" customHeight="1">
      <c r="B29" s="20" t="inlineStr">
        <is>
          <t>Date Format Reference</t>
        </is>
      </c>
      <c r="G29" s="21" t="inlineStr">
        <is>
          <t>COBOL Verb Reference</t>
        </is>
      </c>
    </row>
    <row r="30" ht="16" customHeight="1">
      <c r="B30" s="5" t="inlineStr">
        <is>
          <t>11 mainframe date formats (YYYYMMDD, Julian, packed, SQL) with COBOL functions and date calculator.</t>
        </is>
      </c>
      <c r="G30" s="5" t="inlineStr">
        <is>
          <t>35+ COBOL verbs with syntax, description, key clauses, and copy-paste examples.</t>
        </is>
      </c>
    </row>
    <row r="31" ht="16" customHeight="1"/>
    <row r="32" ht="16" customHeight="1"/>
    <row r="33" ht="14" customHeight="1">
      <c r="B33" s="22" t="inlineStr">
        <is>
          <t>→ Sheet: Date Formats</t>
        </is>
      </c>
      <c r="G33" s="23" t="inlineStr">
        <is>
          <t>→ Sheet: COBOL Verbs</t>
        </is>
      </c>
    </row>
    <row r="34" ht="6" customHeight="1"/>
    <row r="35" ht="22" customHeight="1">
      <c r="B35" s="24" t="inlineStr">
        <is>
          <t>DB2 / Embedded SQL</t>
        </is>
      </c>
    </row>
    <row r="36" ht="16" customHeight="1">
      <c r="B36" s="5" t="inlineStr">
        <is>
          <t>12 essential DB2 COBOL patterns: SELECT, cursor, INSERT, UPDATE, DELETE, SQLCODE reference, type mapping.</t>
        </is>
      </c>
    </row>
    <row r="37" ht="16" customHeight="1"/>
    <row r="38" ht="16" customHeight="1"/>
    <row r="39" ht="14" customHeight="1">
      <c r="B39" s="25" t="inlineStr">
        <is>
          <t>→ Sheet: DB2-SQL Helper</t>
        </is>
      </c>
    </row>
    <row r="40" ht="6" customHeight="1"/>
    <row r="43">
      <c r="B43" s="26" t="inlineStr">
        <is>
          <t>Generated for COBOL / z/OS developers  |  Tip: Enable macros for extended functionality  |  Sheet count: 12</t>
        </is>
      </c>
    </row>
  </sheetData>
  <mergeCells count="36">
    <mergeCell ref="G21:K21"/>
    <mergeCell ref="G11:K11"/>
    <mergeCell ref="G27:K27"/>
    <mergeCell ref="G23:K23"/>
    <mergeCell ref="B27:F27"/>
    <mergeCell ref="G12:K14"/>
    <mergeCell ref="B21:F21"/>
    <mergeCell ref="G17:K17"/>
    <mergeCell ref="B39:F39"/>
    <mergeCell ref="B12:F14"/>
    <mergeCell ref="B11:F11"/>
    <mergeCell ref="B18:F20"/>
    <mergeCell ref="B23:F23"/>
    <mergeCell ref="B17:F17"/>
    <mergeCell ref="B3:K3"/>
    <mergeCell ref="B29:F29"/>
    <mergeCell ref="G15:K15"/>
    <mergeCell ref="G33:K33"/>
    <mergeCell ref="G6:K8"/>
    <mergeCell ref="G24:K26"/>
    <mergeCell ref="B43:K43"/>
    <mergeCell ref="G5:K5"/>
    <mergeCell ref="G18:K20"/>
    <mergeCell ref="B2:K2"/>
    <mergeCell ref="B6:F8"/>
    <mergeCell ref="B9:F9"/>
    <mergeCell ref="G30:K32"/>
    <mergeCell ref="G29:K29"/>
    <mergeCell ref="B30:F32"/>
    <mergeCell ref="B15:F15"/>
    <mergeCell ref="B33:F33"/>
    <mergeCell ref="B24:F26"/>
    <mergeCell ref="B5:F5"/>
    <mergeCell ref="B36:F38"/>
    <mergeCell ref="G9:K9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48" customWidth="1" min="7" max="7"/>
  </cols>
  <sheetData>
    <row r="1" ht="30" customHeight="1">
      <c r="A1" s="27" t="inlineStr">
        <is>
          <t>COBOL PIC Clause — Storage Calculator</t>
        </is>
      </c>
    </row>
    <row r="2">
      <c r="A2" s="28" t="inlineStr">
        <is>
          <t>Enter a PIC clause in column A. Digits/decimal/sign info will auto-populate. Yellow cells are input.</t>
        </is>
      </c>
    </row>
    <row r="3" ht="28" customHeight="1">
      <c r="A3" s="29" t="inlineStr">
        <is>
          <t>PIC Clause</t>
        </is>
      </c>
      <c r="B3" s="29" t="inlineStr">
        <is>
          <t>Usage / COMP</t>
        </is>
      </c>
      <c r="C3" s="29" t="inlineStr">
        <is>
          <t>Digits (n)</t>
        </is>
      </c>
      <c r="D3" s="29" t="inlineStr">
        <is>
          <t>Decimal (d)</t>
        </is>
      </c>
      <c r="E3" s="29" t="inlineStr">
        <is>
          <t>Signed?</t>
        </is>
      </c>
      <c r="F3" s="29" t="inlineStr">
        <is>
          <t>Storage Bytes</t>
        </is>
      </c>
      <c r="G3" s="29" t="inlineStr">
        <is>
          <t>Notes</t>
        </is>
      </c>
    </row>
    <row r="4">
      <c r="A4" s="30" t="inlineStr">
        <is>
          <t>PIC 9(4)</t>
        </is>
      </c>
      <c r="B4" s="30" t="inlineStr">
        <is>
          <t>DISPLAY</t>
        </is>
      </c>
      <c r="C4" s="30" t="n">
        <v>4</v>
      </c>
      <c r="D4" s="30" t="n">
        <v>0</v>
      </c>
      <c r="E4" s="30" t="inlineStr">
        <is>
          <t>No</t>
        </is>
      </c>
      <c r="F4" s="30" t="n">
        <v>4</v>
      </c>
      <c r="G4" s="30" t="inlineStr">
        <is>
          <t>Zoned decimal, 1 byte per digit</t>
        </is>
      </c>
    </row>
    <row r="5">
      <c r="A5" s="31" t="inlineStr">
        <is>
          <t>PIC S9(4)</t>
        </is>
      </c>
      <c r="B5" s="31" t="inlineStr">
        <is>
          <t>DISPLAY</t>
        </is>
      </c>
      <c r="C5" s="31" t="n">
        <v>4</v>
      </c>
      <c r="D5" s="31" t="n">
        <v>0</v>
      </c>
      <c r="E5" s="31" t="inlineStr">
        <is>
          <t>Yes</t>
        </is>
      </c>
      <c r="F5" s="31" t="n">
        <v>5</v>
      </c>
      <c r="G5" s="31" t="inlineStr">
        <is>
          <t>Zoned decimal + sign nibble</t>
        </is>
      </c>
    </row>
    <row r="6">
      <c r="A6" s="30" t="inlineStr">
        <is>
          <t>PIC 9(7)V99</t>
        </is>
      </c>
      <c r="B6" s="30" t="inlineStr">
        <is>
          <t>DISPLAY</t>
        </is>
      </c>
      <c r="C6" s="30" t="n">
        <v>9</v>
      </c>
      <c r="D6" s="30" t="n">
        <v>2</v>
      </c>
      <c r="E6" s="30" t="inlineStr">
        <is>
          <t>No</t>
        </is>
      </c>
      <c r="F6" s="30" t="n">
        <v>9</v>
      </c>
      <c r="G6" s="30" t="inlineStr">
        <is>
          <t>9 display bytes (V = implied decimal)</t>
        </is>
      </c>
    </row>
    <row r="7">
      <c r="A7" s="31" t="inlineStr">
        <is>
          <t>PIC S9(5)V9(2)</t>
        </is>
      </c>
      <c r="B7" s="31" t="inlineStr">
        <is>
          <t>DISPLAY</t>
        </is>
      </c>
      <c r="C7" s="31" t="n">
        <v>7</v>
      </c>
      <c r="D7" s="31" t="n">
        <v>2</v>
      </c>
      <c r="E7" s="31" t="inlineStr">
        <is>
          <t>Yes</t>
        </is>
      </c>
      <c r="F7" s="31" t="n">
        <v>8</v>
      </c>
      <c r="G7" s="31" t="inlineStr">
        <is>
          <t>Signed zoned decimal</t>
        </is>
      </c>
    </row>
    <row r="8">
      <c r="A8" s="30" t="inlineStr">
        <is>
          <t>PIC 9(4)</t>
        </is>
      </c>
      <c r="B8" s="30" t="inlineStr">
        <is>
          <t>COMP</t>
        </is>
      </c>
      <c r="C8" s="30" t="n">
        <v>4</v>
      </c>
      <c r="D8" s="30" t="n">
        <v>0</v>
      </c>
      <c r="E8" s="30" t="inlineStr">
        <is>
          <t>No</t>
        </is>
      </c>
      <c r="F8" s="30" t="n">
        <v>2</v>
      </c>
      <c r="G8" s="30" t="inlineStr">
        <is>
          <t>Binary: 1-4 digits → 2 bytes</t>
        </is>
      </c>
    </row>
    <row r="9">
      <c r="A9" s="31" t="inlineStr">
        <is>
          <t>PIC 9(9)</t>
        </is>
      </c>
      <c r="B9" s="31" t="inlineStr">
        <is>
          <t>COMP</t>
        </is>
      </c>
      <c r="C9" s="31" t="n">
        <v>9</v>
      </c>
      <c r="D9" s="31" t="n">
        <v>0</v>
      </c>
      <c r="E9" s="31" t="inlineStr">
        <is>
          <t>No</t>
        </is>
      </c>
      <c r="F9" s="31" t="n">
        <v>4</v>
      </c>
      <c r="G9" s="31" t="inlineStr">
        <is>
          <t>Binary: 5-9 digits → 4 bytes</t>
        </is>
      </c>
    </row>
    <row r="10">
      <c r="A10" s="30" t="inlineStr">
        <is>
          <t>PIC 9(18)</t>
        </is>
      </c>
      <c r="B10" s="30" t="inlineStr">
        <is>
          <t>COMP</t>
        </is>
      </c>
      <c r="C10" s="30" t="n">
        <v>18</v>
      </c>
      <c r="D10" s="30" t="n">
        <v>0</v>
      </c>
      <c r="E10" s="30" t="inlineStr">
        <is>
          <t>No</t>
        </is>
      </c>
      <c r="F10" s="30" t="n">
        <v>8</v>
      </c>
      <c r="G10" s="30" t="inlineStr">
        <is>
          <t>Binary: 10-18 digits → 8 bytes</t>
        </is>
      </c>
    </row>
    <row r="11">
      <c r="A11" s="31" t="inlineStr">
        <is>
          <t>PIC S9(4)</t>
        </is>
      </c>
      <c r="B11" s="31" t="inlineStr">
        <is>
          <t>COMP</t>
        </is>
      </c>
      <c r="C11" s="31" t="n">
        <v>4</v>
      </c>
      <c r="D11" s="31" t="n">
        <v>0</v>
      </c>
      <c r="E11" s="31" t="inlineStr">
        <is>
          <t>Yes</t>
        </is>
      </c>
      <c r="F11" s="31" t="n">
        <v>2</v>
      </c>
      <c r="G11" s="31" t="inlineStr">
        <is>
          <t>Signed binary 2 bytes</t>
        </is>
      </c>
    </row>
    <row r="12">
      <c r="A12" s="30" t="inlineStr">
        <is>
          <t>PIC S9(9)</t>
        </is>
      </c>
      <c r="B12" s="30" t="inlineStr">
        <is>
          <t>COMP</t>
        </is>
      </c>
      <c r="C12" s="30" t="n">
        <v>9</v>
      </c>
      <c r="D12" s="30" t="n">
        <v>0</v>
      </c>
      <c r="E12" s="30" t="inlineStr">
        <is>
          <t>Yes</t>
        </is>
      </c>
      <c r="F12" s="30" t="n">
        <v>4</v>
      </c>
      <c r="G12" s="30" t="inlineStr">
        <is>
          <t>Signed binary 4 bytes</t>
        </is>
      </c>
    </row>
    <row r="13">
      <c r="A13" s="31" t="inlineStr">
        <is>
          <t>PIC S9(18)</t>
        </is>
      </c>
      <c r="B13" s="31" t="inlineStr">
        <is>
          <t>COMP</t>
        </is>
      </c>
      <c r="C13" s="31" t="n">
        <v>18</v>
      </c>
      <c r="D13" s="31" t="n">
        <v>0</v>
      </c>
      <c r="E13" s="31" t="inlineStr">
        <is>
          <t>Yes</t>
        </is>
      </c>
      <c r="F13" s="31" t="n">
        <v>8</v>
      </c>
      <c r="G13" s="31" t="inlineStr">
        <is>
          <t>Signed binary 8 bytes</t>
        </is>
      </c>
    </row>
    <row r="14">
      <c r="A14" s="30" t="inlineStr">
        <is>
          <t>PIC S9(5)V9(2)</t>
        </is>
      </c>
      <c r="B14" s="30" t="inlineStr">
        <is>
          <t>COMP-3</t>
        </is>
      </c>
      <c r="C14" s="30" t="n">
        <v>7</v>
      </c>
      <c r="D14" s="30" t="n">
        <v>2</v>
      </c>
      <c r="E14" s="30" t="inlineStr">
        <is>
          <t>Yes</t>
        </is>
      </c>
      <c r="F14" s="30" t="n">
        <v>4</v>
      </c>
      <c r="G14" s="30" t="inlineStr">
        <is>
          <t>Packed: CEIL((7+1)/2)=4 bytes</t>
        </is>
      </c>
    </row>
    <row r="15">
      <c r="A15" s="31" t="inlineStr">
        <is>
          <t>PIC S9(9)V9(2)</t>
        </is>
      </c>
      <c r="B15" s="31" t="inlineStr">
        <is>
          <t>COMP-3</t>
        </is>
      </c>
      <c r="C15" s="31" t="n">
        <v>11</v>
      </c>
      <c r="D15" s="31" t="n">
        <v>2</v>
      </c>
      <c r="E15" s="31" t="inlineStr">
        <is>
          <t>Yes</t>
        </is>
      </c>
      <c r="F15" s="31" t="n">
        <v>6</v>
      </c>
      <c r="G15" s="31" t="inlineStr">
        <is>
          <t>Packed: CEIL((11+1)/2)=6 bytes</t>
        </is>
      </c>
    </row>
    <row r="16">
      <c r="A16" s="30" t="inlineStr">
        <is>
          <t>PIC 9(4)</t>
        </is>
      </c>
      <c r="B16" s="30" t="inlineStr">
        <is>
          <t>COMP-3</t>
        </is>
      </c>
      <c r="C16" s="30" t="n">
        <v>4</v>
      </c>
      <c r="D16" s="30" t="n">
        <v>0</v>
      </c>
      <c r="E16" s="30" t="inlineStr">
        <is>
          <t>No</t>
        </is>
      </c>
      <c r="F16" s="30" t="n">
        <v>3</v>
      </c>
      <c r="G16" s="30" t="inlineStr">
        <is>
          <t>Packed: CEIL((4+1)/2)=3 bytes</t>
        </is>
      </c>
    </row>
    <row r="17">
      <c r="A17" s="31" t="inlineStr">
        <is>
          <t>PIC 9(6)</t>
        </is>
      </c>
      <c r="B17" s="31" t="inlineStr">
        <is>
          <t>COMP-3</t>
        </is>
      </c>
      <c r="C17" s="31" t="n">
        <v>6</v>
      </c>
      <c r="D17" s="31" t="n">
        <v>0</v>
      </c>
      <c r="E17" s="31" t="inlineStr">
        <is>
          <t>No</t>
        </is>
      </c>
      <c r="F17" s="31" t="n">
        <v>4</v>
      </c>
      <c r="G17" s="31" t="inlineStr">
        <is>
          <t>Packed: CEIL((6+1)/2)=4 bytes</t>
        </is>
      </c>
    </row>
    <row r="18">
      <c r="A18" s="30" t="inlineStr">
        <is>
          <t>PIC X(10)</t>
        </is>
      </c>
      <c r="B18" s="30" t="inlineStr">
        <is>
          <t>DISPLAY</t>
        </is>
      </c>
      <c r="C18" s="30" t="inlineStr">
        <is>
          <t>-</t>
        </is>
      </c>
      <c r="D18" s="30" t="inlineStr">
        <is>
          <t>-</t>
        </is>
      </c>
      <c r="E18" s="30" t="inlineStr">
        <is>
          <t>No</t>
        </is>
      </c>
      <c r="F18" s="30" t="n">
        <v>10</v>
      </c>
      <c r="G18" s="30" t="inlineStr">
        <is>
          <t>Alphanumeric, 1 byte per char</t>
        </is>
      </c>
    </row>
    <row r="19">
      <c r="A19" s="31" t="inlineStr">
        <is>
          <t>PIC X(256)</t>
        </is>
      </c>
      <c r="B19" s="31" t="inlineStr">
        <is>
          <t>DISPLAY</t>
        </is>
      </c>
      <c r="C19" s="31" t="inlineStr">
        <is>
          <t>-</t>
        </is>
      </c>
      <c r="D19" s="31" t="inlineStr">
        <is>
          <t>-</t>
        </is>
      </c>
      <c r="E19" s="31" t="inlineStr">
        <is>
          <t>No</t>
        </is>
      </c>
      <c r="F19" s="31" t="n">
        <v>256</v>
      </c>
      <c r="G19" s="31" t="inlineStr">
        <is>
          <t>Alphanumeric 256 bytes</t>
        </is>
      </c>
    </row>
    <row r="20">
      <c r="A20" s="30" t="inlineStr">
        <is>
          <t>PIC A(5)</t>
        </is>
      </c>
      <c r="B20" s="30" t="inlineStr">
        <is>
          <t>DISPLAY</t>
        </is>
      </c>
      <c r="C20" s="30" t="inlineStr">
        <is>
          <t>-</t>
        </is>
      </c>
      <c r="D20" s="30" t="inlineStr">
        <is>
          <t>-</t>
        </is>
      </c>
      <c r="E20" s="30" t="inlineStr">
        <is>
          <t>No</t>
        </is>
      </c>
      <c r="F20" s="30" t="n">
        <v>5</v>
      </c>
      <c r="G20" s="30" t="inlineStr">
        <is>
          <t>Alphabetic, 1 byte per char</t>
        </is>
      </c>
    </row>
    <row r="21">
      <c r="A21" s="31" t="inlineStr">
        <is>
          <t>PIC 1</t>
        </is>
      </c>
      <c r="B21" s="31" t="inlineStr">
        <is>
          <t>DISPLAY</t>
        </is>
      </c>
      <c r="C21" s="31" t="n">
        <v>1</v>
      </c>
      <c r="D21" s="31" t="n">
        <v>0</v>
      </c>
      <c r="E21" s="31" t="inlineStr">
        <is>
          <t>No</t>
        </is>
      </c>
      <c r="F21" s="31" t="n">
        <v>1</v>
      </c>
      <c r="G21" s="31" t="inlineStr">
        <is>
          <t>Boolean / bit field</t>
        </is>
      </c>
    </row>
    <row r="22">
      <c r="A22" s="30" t="inlineStr">
        <is>
          <t>PIC G(10)</t>
        </is>
      </c>
      <c r="B22" s="30" t="inlineStr">
        <is>
          <t>DISPLAY</t>
        </is>
      </c>
      <c r="C22" s="30" t="inlineStr">
        <is>
          <t>-</t>
        </is>
      </c>
      <c r="D22" s="30" t="inlineStr">
        <is>
          <t>-</t>
        </is>
      </c>
      <c r="E22" s="30" t="inlineStr">
        <is>
          <t>No</t>
        </is>
      </c>
      <c r="F22" s="30" t="n">
        <v>20</v>
      </c>
      <c r="G22" s="30" t="inlineStr">
        <is>
          <t>DBCS graphic: 2 bytes per char</t>
        </is>
      </c>
    </row>
    <row r="23">
      <c r="A23" s="31" t="inlineStr">
        <is>
          <t>PIC N(10)</t>
        </is>
      </c>
      <c r="B23" s="31" t="inlineStr">
        <is>
          <t>NATIONAL</t>
        </is>
      </c>
      <c r="C23" s="31" t="inlineStr">
        <is>
          <t>-</t>
        </is>
      </c>
      <c r="D23" s="31" t="inlineStr">
        <is>
          <t>-</t>
        </is>
      </c>
      <c r="E23" s="31" t="inlineStr">
        <is>
          <t>No</t>
        </is>
      </c>
      <c r="F23" s="31" t="n">
        <v>20</v>
      </c>
      <c r="G23" s="31" t="inlineStr">
        <is>
          <t>National (UTF-16): 2 bytes per char</t>
        </is>
      </c>
    </row>
    <row r="24">
      <c r="A24" s="30" t="inlineStr">
        <is>
          <t>PIC S9(4)</t>
        </is>
      </c>
      <c r="B24" s="30" t="inlineStr">
        <is>
          <t>COMP-1</t>
        </is>
      </c>
      <c r="C24" s="30" t="inlineStr">
        <is>
          <t>-</t>
        </is>
      </c>
      <c r="D24" s="30" t="inlineStr">
        <is>
          <t>-</t>
        </is>
      </c>
      <c r="E24" s="30" t="inlineStr">
        <is>
          <t>Yes</t>
        </is>
      </c>
      <c r="F24" s="30" t="n">
        <v>4</v>
      </c>
      <c r="G24" s="30" t="inlineStr">
        <is>
          <t>Single-precision float (4 bytes)</t>
        </is>
      </c>
    </row>
    <row r="25">
      <c r="A25" s="31" t="inlineStr">
        <is>
          <t>PIC S9(16)</t>
        </is>
      </c>
      <c r="B25" s="31" t="inlineStr">
        <is>
          <t>COMP-2</t>
        </is>
      </c>
      <c r="C25" s="31" t="inlineStr">
        <is>
          <t>-</t>
        </is>
      </c>
      <c r="D25" s="31" t="inlineStr">
        <is>
          <t>-</t>
        </is>
      </c>
      <c r="E25" s="31" t="inlineStr">
        <is>
          <t>Yes</t>
        </is>
      </c>
      <c r="F25" s="31" t="n">
        <v>8</v>
      </c>
      <c r="G25" s="31" t="inlineStr">
        <is>
          <t>Double-precision float (8 bytes)</t>
        </is>
      </c>
    </row>
    <row r="26">
      <c r="A26" s="30" t="inlineStr">
        <is>
          <t>PIC S9(4)</t>
        </is>
      </c>
      <c r="B26" s="30" t="inlineStr">
        <is>
          <t>COMP-4</t>
        </is>
      </c>
      <c r="C26" s="30" t="n">
        <v>4</v>
      </c>
      <c r="D26" s="30" t="n">
        <v>0</v>
      </c>
      <c r="E26" s="30" t="inlineStr">
        <is>
          <t>Yes</t>
        </is>
      </c>
      <c r="F26" s="30" t="n">
        <v>2</v>
      </c>
      <c r="G26" s="30" t="inlineStr">
        <is>
          <t>Same as COMP (pure binary)</t>
        </is>
      </c>
    </row>
    <row r="27">
      <c r="A27" s="31" t="inlineStr">
        <is>
          <t>PIC S9(4)</t>
        </is>
      </c>
      <c r="B27" s="31" t="inlineStr">
        <is>
          <t>COMP-5</t>
        </is>
      </c>
      <c r="C27" s="31" t="n">
        <v>4</v>
      </c>
      <c r="D27" s="31" t="n">
        <v>0</v>
      </c>
      <c r="E27" s="31" t="inlineStr">
        <is>
          <t>Yes</t>
        </is>
      </c>
      <c r="F27" s="31" t="n">
        <v>2</v>
      </c>
      <c r="G27" s="31" t="inlineStr">
        <is>
          <t>Native binary (no truncation)</t>
        </is>
      </c>
    </row>
    <row r="30">
      <c r="A30" s="32" t="inlineStr">
        <is>
          <t>Custom COMP-3 Storage Calculator</t>
        </is>
      </c>
    </row>
    <row r="31">
      <c r="A31" s="33" t="inlineStr">
        <is>
          <t>Total digits (n)</t>
        </is>
      </c>
      <c r="B31" s="34" t="n">
        <v>7</v>
      </c>
    </row>
    <row r="32">
      <c r="A32" s="33" t="inlineStr">
        <is>
          <t>Decimal digits (d)</t>
        </is>
      </c>
      <c r="B32" s="34" t="n">
        <v>2</v>
      </c>
    </row>
    <row r="33">
      <c r="A33" s="33" t="inlineStr">
        <is>
          <t>Signed (1=Yes 0=No)</t>
        </is>
      </c>
      <c r="B33" s="34" t="n">
        <v>1</v>
      </c>
    </row>
    <row r="34">
      <c r="A34" s="33" t="inlineStr">
        <is>
          <t>COMP-3 bytes = CEIL((n+1)/2)</t>
        </is>
      </c>
      <c r="B34" s="35">
        <f>CEILING((B31+1)/2,1)</f>
        <v/>
      </c>
    </row>
    <row r="35">
      <c r="A35" s="33" t="inlineStr">
        <is>
          <t>DISPLAY bytes = n+sign</t>
        </is>
      </c>
      <c r="B35" s="35">
        <f>B31+B33</f>
        <v/>
      </c>
    </row>
    <row r="36">
      <c r="A36" s="33" t="inlineStr">
        <is>
          <t>COMP bytes (approx)</t>
        </is>
      </c>
      <c r="B36" s="35">
        <f>IF(B31&lt;=4,2,IF(B31&lt;=9,4,8))</f>
        <v/>
      </c>
    </row>
  </sheetData>
  <mergeCells count="3">
    <mergeCell ref="A30:G30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6" customWidth="1" min="3" max="3"/>
    <col width="14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10" customWidth="1" min="10" max="10"/>
    <col width="10" customWidth="1" min="11" max="11"/>
  </cols>
  <sheetData>
    <row r="1">
      <c r="A1" s="27" t="inlineStr">
        <is>
          <t>COBOL Copybook Record Layout Designer</t>
        </is>
      </c>
    </row>
    <row r="2">
      <c r="A2" s="36" t="inlineStr">
        <is>
          <t>Fill in field details. Start Position and End Position are auto-calculated. Total Record Length is shown at the bottom.</t>
        </is>
      </c>
    </row>
    <row r="3">
      <c r="A3" s="37" t="inlineStr">
        <is>
          <t xml:space="preserve">  Usage codes: D=DISPLAY  C=COMP  C3=COMP-3  C1=COMP-1  C2=COMP-2  C4=COMP-4  C5=COMP-5  N=NATIONAL</t>
        </is>
      </c>
    </row>
    <row r="4" ht="28" customHeight="1">
      <c r="A4" s="29" t="inlineStr">
        <is>
          <t>#</t>
        </is>
      </c>
      <c r="B4" s="29" t="inlineStr">
        <is>
          <t>Field Name (COBOL)</t>
        </is>
      </c>
      <c r="C4" s="29" t="inlineStr">
        <is>
          <t>Level</t>
        </is>
      </c>
      <c r="D4" s="29" t="inlineStr">
        <is>
          <t>PIC Clause</t>
        </is>
      </c>
      <c r="E4" s="29" t="inlineStr">
        <is>
          <t>USAGE</t>
        </is>
      </c>
      <c r="F4" s="29" t="inlineStr">
        <is>
          <t>Digits (n)</t>
        </is>
      </c>
      <c r="G4" s="29" t="inlineStr">
        <is>
          <t>Dec (d)</t>
        </is>
      </c>
      <c r="H4" s="29" t="inlineStr">
        <is>
          <t>Signed</t>
        </is>
      </c>
      <c r="I4" s="29" t="inlineStr">
        <is>
          <t>Bytes</t>
        </is>
      </c>
      <c r="J4" s="29" t="inlineStr">
        <is>
          <t>Start Pos</t>
        </is>
      </c>
      <c r="K4" s="29" t="inlineStr">
        <is>
          <t>End Pos</t>
        </is>
      </c>
    </row>
    <row r="5">
      <c r="A5" s="38" t="n">
        <v>1</v>
      </c>
      <c r="B5" s="39" t="inlineStr">
        <is>
          <t>EMP-RECORD</t>
        </is>
      </c>
      <c r="C5" s="39" t="inlineStr">
        <is>
          <t>01</t>
        </is>
      </c>
      <c r="D5" s="31" t="inlineStr"/>
      <c r="E5" s="31" t="inlineStr"/>
      <c r="F5" s="31" t="inlineStr"/>
      <c r="G5" s="31" t="inlineStr"/>
      <c r="H5" s="31" t="inlineStr"/>
      <c r="I5" s="31" t="inlineStr"/>
      <c r="J5" s="40" t="n">
        <v>1</v>
      </c>
      <c r="K5" s="40">
        <f>J5+I5-1</f>
        <v/>
      </c>
    </row>
    <row r="6">
      <c r="A6" s="41" t="n">
        <v>2</v>
      </c>
      <c r="B6" s="39" t="inlineStr">
        <is>
          <t>EMP-ID</t>
        </is>
      </c>
      <c r="C6" s="39" t="inlineStr">
        <is>
          <t>05</t>
        </is>
      </c>
      <c r="D6" s="39" t="inlineStr">
        <is>
          <t>9(6)</t>
        </is>
      </c>
      <c r="E6" s="39" t="inlineStr">
        <is>
          <t>C</t>
        </is>
      </c>
      <c r="F6" s="39" t="n">
        <v>6</v>
      </c>
      <c r="G6" s="39" t="n">
        <v>0</v>
      </c>
      <c r="H6" s="39" t="inlineStr">
        <is>
          <t>N</t>
        </is>
      </c>
      <c r="I6" s="39" t="n">
        <v>4</v>
      </c>
      <c r="J6" s="42">
        <f>K5+1</f>
        <v/>
      </c>
      <c r="K6" s="42">
        <f>J6+I6-1</f>
        <v/>
      </c>
    </row>
    <row r="7">
      <c r="A7" s="38" t="n">
        <v>3</v>
      </c>
      <c r="B7" s="39" t="inlineStr">
        <is>
          <t>EMP-NAME</t>
        </is>
      </c>
      <c r="C7" s="39" t="inlineStr">
        <is>
          <t>05</t>
        </is>
      </c>
      <c r="D7" s="39" t="inlineStr">
        <is>
          <t>X(30)</t>
        </is>
      </c>
      <c r="E7" s="39" t="inlineStr">
        <is>
          <t>D</t>
        </is>
      </c>
      <c r="F7" s="31" t="inlineStr"/>
      <c r="G7" s="31" t="inlineStr"/>
      <c r="H7" s="39" t="inlineStr">
        <is>
          <t>N</t>
        </is>
      </c>
      <c r="I7" s="39" t="n">
        <v>30</v>
      </c>
      <c r="J7" s="40">
        <f>K6+1</f>
        <v/>
      </c>
      <c r="K7" s="40">
        <f>J7+I7-1</f>
        <v/>
      </c>
    </row>
    <row r="8">
      <c r="A8" s="41" t="n">
        <v>4</v>
      </c>
      <c r="B8" s="39" t="inlineStr">
        <is>
          <t>EMP-DEPT</t>
        </is>
      </c>
      <c r="C8" s="39" t="inlineStr">
        <is>
          <t>05</t>
        </is>
      </c>
      <c r="D8" s="39" t="inlineStr">
        <is>
          <t>X(10)</t>
        </is>
      </c>
      <c r="E8" s="39" t="inlineStr">
        <is>
          <t>D</t>
        </is>
      </c>
      <c r="F8" s="30" t="inlineStr"/>
      <c r="G8" s="30" t="inlineStr"/>
      <c r="H8" s="39" t="inlineStr">
        <is>
          <t>N</t>
        </is>
      </c>
      <c r="I8" s="39" t="n">
        <v>10</v>
      </c>
      <c r="J8" s="42">
        <f>K7+1</f>
        <v/>
      </c>
      <c r="K8" s="42">
        <f>J8+I8-1</f>
        <v/>
      </c>
    </row>
    <row r="9">
      <c r="A9" s="38" t="n">
        <v>5</v>
      </c>
      <c r="B9" s="39" t="inlineStr">
        <is>
          <t>EMP-SALARY</t>
        </is>
      </c>
      <c r="C9" s="39" t="inlineStr">
        <is>
          <t>05</t>
        </is>
      </c>
      <c r="D9" s="39" t="inlineStr">
        <is>
          <t>S9(7)V99</t>
        </is>
      </c>
      <c r="E9" s="39" t="inlineStr">
        <is>
          <t>C3</t>
        </is>
      </c>
      <c r="F9" s="39" t="n">
        <v>9</v>
      </c>
      <c r="G9" s="39" t="n">
        <v>2</v>
      </c>
      <c r="H9" s="39" t="inlineStr">
        <is>
          <t>Y</t>
        </is>
      </c>
      <c r="I9" s="39" t="n">
        <v>5</v>
      </c>
      <c r="J9" s="40">
        <f>K8+1</f>
        <v/>
      </c>
      <c r="K9" s="40">
        <f>J9+I9-1</f>
        <v/>
      </c>
    </row>
    <row r="10">
      <c r="A10" s="41" t="n">
        <v>6</v>
      </c>
      <c r="B10" s="39" t="inlineStr">
        <is>
          <t>EMP-DOB</t>
        </is>
      </c>
      <c r="C10" s="39" t="inlineStr">
        <is>
          <t>05</t>
        </is>
      </c>
      <c r="D10" s="39" t="inlineStr">
        <is>
          <t>9(8)</t>
        </is>
      </c>
      <c r="E10" s="39" t="inlineStr">
        <is>
          <t>D</t>
        </is>
      </c>
      <c r="F10" s="39" t="n">
        <v>8</v>
      </c>
      <c r="G10" s="39" t="n">
        <v>0</v>
      </c>
      <c r="H10" s="39" t="inlineStr">
        <is>
          <t>N</t>
        </is>
      </c>
      <c r="I10" s="39" t="n">
        <v>8</v>
      </c>
      <c r="J10" s="42">
        <f>K9+1</f>
        <v/>
      </c>
      <c r="K10" s="42">
        <f>J10+I10-1</f>
        <v/>
      </c>
    </row>
    <row r="11">
      <c r="A11" s="38" t="n">
        <v>7</v>
      </c>
      <c r="B11" s="39" t="inlineStr">
        <is>
          <t>EMP-ACTIVE-FLAG</t>
        </is>
      </c>
      <c r="C11" s="39" t="inlineStr">
        <is>
          <t>05</t>
        </is>
      </c>
      <c r="D11" s="39" t="inlineStr">
        <is>
          <t>X(1)</t>
        </is>
      </c>
      <c r="E11" s="39" t="inlineStr">
        <is>
          <t>D</t>
        </is>
      </c>
      <c r="F11" s="31" t="inlineStr"/>
      <c r="G11" s="31" t="inlineStr"/>
      <c r="H11" s="39" t="inlineStr">
        <is>
          <t>N</t>
        </is>
      </c>
      <c r="I11" s="39" t="n">
        <v>1</v>
      </c>
      <c r="J11" s="40">
        <f>K10+1</f>
        <v/>
      </c>
      <c r="K11" s="40">
        <f>J11+I11-1</f>
        <v/>
      </c>
    </row>
    <row r="12">
      <c r="A12" s="41" t="n">
        <v>8</v>
      </c>
      <c r="B12" s="39" t="inlineStr">
        <is>
          <t>EMP-FILLER</t>
        </is>
      </c>
      <c r="C12" s="39" t="inlineStr">
        <is>
          <t>05</t>
        </is>
      </c>
      <c r="D12" s="39" t="inlineStr">
        <is>
          <t>X(10)</t>
        </is>
      </c>
      <c r="E12" s="39" t="inlineStr">
        <is>
          <t>D</t>
        </is>
      </c>
      <c r="F12" s="30" t="inlineStr"/>
      <c r="G12" s="30" t="inlineStr"/>
      <c r="H12" s="39" t="inlineStr">
        <is>
          <t>N</t>
        </is>
      </c>
      <c r="I12" s="39" t="n">
        <v>10</v>
      </c>
      <c r="J12" s="42">
        <f>K11+1</f>
        <v/>
      </c>
      <c r="K12" s="42">
        <f>J12+I12-1</f>
        <v/>
      </c>
    </row>
    <row r="14">
      <c r="A14" s="43" t="inlineStr">
        <is>
          <t>TOTAL RECORD LENGTH (bytes)</t>
        </is>
      </c>
      <c r="I14" s="44">
        <f>SUM(I5:I12)</f>
        <v/>
      </c>
      <c r="J14" s="44">
        <f>K12</f>
        <v/>
      </c>
    </row>
  </sheetData>
  <mergeCells count="5">
    <mergeCell ref="A3:K3"/>
    <mergeCell ref="J14:K14"/>
    <mergeCell ref="A2:K2"/>
    <mergeCell ref="A14:H14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2" customWidth="1" min="3" max="3"/>
    <col width="14" customWidth="1" min="4" max="4"/>
    <col width="12" customWidth="1" min="5" max="5"/>
    <col width="20" customWidth="1" min="6" max="6"/>
    <col width="18" customWidth="1" min="7" max="7"/>
    <col width="24" customWidth="1" min="8" max="8"/>
  </cols>
  <sheetData>
    <row r="1" ht="30" customHeight="1">
      <c r="A1" s="27" t="inlineStr">
        <is>
          <t>COMP-3 (Packed Decimal) Reference &amp; Encoder</t>
        </is>
      </c>
    </row>
    <row r="3">
      <c r="A3" s="32" t="inlineStr">
        <is>
          <t>Theory &amp; Rules</t>
        </is>
      </c>
    </row>
    <row r="4">
      <c r="A4" s="45" t="inlineStr">
        <is>
          <t>Rule</t>
        </is>
      </c>
      <c r="B4" s="46" t="inlineStr">
        <is>
          <t>Detail</t>
        </is>
      </c>
    </row>
    <row r="5">
      <c r="A5" s="33" t="inlineStr">
        <is>
          <t>Storage formula</t>
        </is>
      </c>
      <c r="B5" s="47" t="inlineStr">
        <is>
          <t>CEIL( (total_digits + 1) / 2 )  bytes</t>
        </is>
      </c>
    </row>
    <row r="6">
      <c r="A6" s="45" t="inlineStr">
        <is>
          <t>Sign nibble – positive</t>
        </is>
      </c>
      <c r="B6" s="46" t="inlineStr">
        <is>
          <t>0x0C  (hex C)</t>
        </is>
      </c>
    </row>
    <row r="7">
      <c r="A7" s="33" t="inlineStr">
        <is>
          <t>Sign nibble – negative</t>
        </is>
      </c>
      <c r="B7" s="47" t="inlineStr">
        <is>
          <t>0x0D  (hex D)</t>
        </is>
      </c>
    </row>
    <row r="8">
      <c r="A8" s="45" t="inlineStr">
        <is>
          <t>Sign nibble – unsigned</t>
        </is>
      </c>
      <c r="B8" s="46" t="inlineStr">
        <is>
          <t>0x0F  (hex F)</t>
        </is>
      </c>
    </row>
    <row r="9">
      <c r="A9" s="33" t="inlineStr">
        <is>
          <t>Digit packing</t>
        </is>
      </c>
      <c r="B9" s="47" t="inlineStr">
        <is>
          <t>Each decimal digit → 1 nibble (4 bits)</t>
        </is>
      </c>
    </row>
    <row r="10">
      <c r="A10" s="45" t="inlineStr">
        <is>
          <t>Example: +1234</t>
        </is>
      </c>
      <c r="B10" s="46" t="inlineStr">
        <is>
          <t>→  12 3C  (2 bytes)</t>
        </is>
      </c>
    </row>
    <row r="11">
      <c r="A11" s="33" t="inlineStr">
        <is>
          <t>Example: -56789</t>
        </is>
      </c>
      <c r="B11" s="47" t="inlineStr">
        <is>
          <t>→  05 67 8D  (3 bytes)</t>
        </is>
      </c>
    </row>
    <row r="12">
      <c r="A12" s="45" t="inlineStr">
        <is>
          <t>Example:  0</t>
        </is>
      </c>
      <c r="B12" s="46" t="inlineStr">
        <is>
          <t>→  0C  (1 byte)</t>
        </is>
      </c>
    </row>
    <row r="13">
      <c r="A13" s="33" t="inlineStr">
        <is>
          <t>Max value S9(18)</t>
        </is>
      </c>
      <c r="B13" s="47" t="inlineStr">
        <is>
          <t>→  999,999,999,999,999,999</t>
        </is>
      </c>
    </row>
    <row r="16">
      <c r="A16" s="48" t="inlineStr">
        <is>
          <t>COMP-3 Digits ↔ Bytes Quick Reference</t>
        </is>
      </c>
    </row>
    <row r="17">
      <c r="A17" s="49" t="inlineStr">
        <is>
          <t>Digits (n)</t>
        </is>
      </c>
      <c r="B17" s="49" t="inlineStr">
        <is>
          <t>COMP-3 Bytes</t>
        </is>
      </c>
      <c r="C17" s="49" t="inlineStr">
        <is>
          <t>Max Value (unsigned)</t>
        </is>
      </c>
      <c r="D17" s="49" t="inlineStr">
        <is>
          <t>DISPLAY Bytes</t>
        </is>
      </c>
      <c r="E17" s="49" t="inlineStr">
        <is>
          <t>COMP Bytes</t>
        </is>
      </c>
      <c r="F17" s="49" t="inlineStr">
        <is>
          <t>COMP-3 Hex Example</t>
        </is>
      </c>
      <c r="G17" s="49" t="inlineStr">
        <is>
          <t>PIC Clause</t>
        </is>
      </c>
      <c r="H17" s="49" t="inlineStr">
        <is>
          <t>Notes</t>
        </is>
      </c>
    </row>
    <row r="18">
      <c r="A18" s="41" t="n">
        <v>1</v>
      </c>
      <c r="B18" s="41" t="n">
        <v>1</v>
      </c>
      <c r="C18" s="41" t="inlineStr">
        <is>
          <t>9</t>
        </is>
      </c>
      <c r="D18" s="41" t="n">
        <v>1</v>
      </c>
      <c r="E18" s="41" t="n">
        <v>2</v>
      </c>
      <c r="F18" s="30" t="inlineStr">
        <is>
          <t>9C</t>
        </is>
      </c>
      <c r="G18" s="30" t="inlineStr">
        <is>
          <t>S9(1) COMP-3</t>
        </is>
      </c>
      <c r="H18" s="30" t="inlineStr"/>
    </row>
    <row r="19">
      <c r="A19" s="38" t="n">
        <v>2</v>
      </c>
      <c r="B19" s="38" t="n">
        <v>2</v>
      </c>
      <c r="C19" s="38" t="inlineStr">
        <is>
          <t>99</t>
        </is>
      </c>
      <c r="D19" s="38" t="n">
        <v>2</v>
      </c>
      <c r="E19" s="38" t="n">
        <v>2</v>
      </c>
      <c r="F19" s="31" t="inlineStr">
        <is>
          <t>99C</t>
        </is>
      </c>
      <c r="G19" s="31" t="inlineStr">
        <is>
          <t>S9(2) COMP-3</t>
        </is>
      </c>
      <c r="H19" s="31" t="inlineStr"/>
    </row>
    <row r="20">
      <c r="A20" s="41" t="n">
        <v>3</v>
      </c>
      <c r="B20" s="41" t="n">
        <v>2</v>
      </c>
      <c r="C20" s="41" t="inlineStr">
        <is>
          <t>999</t>
        </is>
      </c>
      <c r="D20" s="41" t="n">
        <v>3</v>
      </c>
      <c r="E20" s="41" t="n">
        <v>2</v>
      </c>
      <c r="F20" s="30" t="inlineStr">
        <is>
          <t>09 9C</t>
        </is>
      </c>
      <c r="G20" s="30" t="inlineStr">
        <is>
          <t>S9(3) COMP-3</t>
        </is>
      </c>
      <c r="H20" s="30" t="inlineStr"/>
    </row>
    <row r="21">
      <c r="A21" s="38" t="n">
        <v>4</v>
      </c>
      <c r="B21" s="38" t="n">
        <v>3</v>
      </c>
      <c r="C21" s="38" t="inlineStr">
        <is>
          <t>9,999</t>
        </is>
      </c>
      <c r="D21" s="38" t="n">
        <v>4</v>
      </c>
      <c r="E21" s="38" t="n">
        <v>2</v>
      </c>
      <c r="F21" s="31" t="inlineStr">
        <is>
          <t>09 99C</t>
        </is>
      </c>
      <c r="G21" s="31" t="inlineStr">
        <is>
          <t>S9(4) COMP-3</t>
        </is>
      </c>
      <c r="H21" s="31" t="inlineStr"/>
    </row>
    <row r="22">
      <c r="A22" s="41" t="n">
        <v>5</v>
      </c>
      <c r="B22" s="41" t="n">
        <v>3</v>
      </c>
      <c r="C22" s="41" t="inlineStr">
        <is>
          <t>99,999</t>
        </is>
      </c>
      <c r="D22" s="41" t="n">
        <v>5</v>
      </c>
      <c r="E22" s="41" t="n">
        <v>2</v>
      </c>
      <c r="F22" s="30" t="inlineStr">
        <is>
          <t>99 99 9C</t>
        </is>
      </c>
      <c r="G22" s="30" t="inlineStr">
        <is>
          <t>S9(5) COMP-3</t>
        </is>
      </c>
      <c r="H22" s="30" t="inlineStr"/>
    </row>
    <row r="23">
      <c r="A23" s="38" t="n">
        <v>6</v>
      </c>
      <c r="B23" s="38" t="n">
        <v>4</v>
      </c>
      <c r="C23" s="38" t="inlineStr">
        <is>
          <t>999,999</t>
        </is>
      </c>
      <c r="D23" s="38" t="n">
        <v>6</v>
      </c>
      <c r="E23" s="38" t="n">
        <v>2</v>
      </c>
      <c r="F23" s="31" t="inlineStr">
        <is>
          <t>09 99 99C</t>
        </is>
      </c>
      <c r="G23" s="31" t="inlineStr">
        <is>
          <t>S9(6) COMP-3</t>
        </is>
      </c>
      <c r="H23" s="31" t="inlineStr"/>
    </row>
    <row r="24">
      <c r="A24" s="41" t="n">
        <v>7</v>
      </c>
      <c r="B24" s="41" t="n">
        <v>4</v>
      </c>
      <c r="C24" s="41" t="inlineStr">
        <is>
          <t>9,999,999</t>
        </is>
      </c>
      <c r="D24" s="41" t="n">
        <v>7</v>
      </c>
      <c r="E24" s="41" t="n">
        <v>2</v>
      </c>
      <c r="F24" s="30" t="inlineStr">
        <is>
          <t>09 99 99 9C</t>
        </is>
      </c>
      <c r="G24" s="30" t="inlineStr">
        <is>
          <t>S9(7) COMP-3</t>
        </is>
      </c>
      <c r="H24" s="30" t="inlineStr">
        <is>
          <t>Common amount field</t>
        </is>
      </c>
    </row>
    <row r="25">
      <c r="A25" s="38" t="n">
        <v>8</v>
      </c>
      <c r="B25" s="38" t="n">
        <v>5</v>
      </c>
      <c r="C25" s="38" t="inlineStr">
        <is>
          <t>99,999,999</t>
        </is>
      </c>
      <c r="D25" s="38" t="n">
        <v>8</v>
      </c>
      <c r="E25" s="38" t="n">
        <v>4</v>
      </c>
      <c r="F25" s="31" t="inlineStr">
        <is>
          <t>...</t>
        </is>
      </c>
      <c r="G25" s="31" t="inlineStr">
        <is>
          <t>S9(8) COMP-3</t>
        </is>
      </c>
      <c r="H25" s="31" t="inlineStr"/>
    </row>
    <row r="26">
      <c r="A26" s="41" t="n">
        <v>9</v>
      </c>
      <c r="B26" s="41" t="n">
        <v>5</v>
      </c>
      <c r="C26" s="41" t="inlineStr">
        <is>
          <t>999,999,999</t>
        </is>
      </c>
      <c r="D26" s="41" t="n">
        <v>9</v>
      </c>
      <c r="E26" s="41" t="n">
        <v>4</v>
      </c>
      <c r="F26" s="30" t="inlineStr">
        <is>
          <t>...</t>
        </is>
      </c>
      <c r="G26" s="30" t="inlineStr">
        <is>
          <t>S9(9) COMP-3</t>
        </is>
      </c>
      <c r="H26" s="30" t="inlineStr"/>
    </row>
    <row r="27">
      <c r="A27" s="38" t="n">
        <v>10</v>
      </c>
      <c r="B27" s="38" t="n">
        <v>6</v>
      </c>
      <c r="C27" s="38" t="inlineStr">
        <is>
          <t>9,999,999,999</t>
        </is>
      </c>
      <c r="D27" s="38" t="n">
        <v>10</v>
      </c>
      <c r="E27" s="38" t="n">
        <v>4</v>
      </c>
      <c r="F27" s="31" t="inlineStr">
        <is>
          <t>...</t>
        </is>
      </c>
      <c r="G27" s="31" t="inlineStr">
        <is>
          <t>S9(10) COMP-3</t>
        </is>
      </c>
      <c r="H27" s="31" t="inlineStr"/>
    </row>
    <row r="28">
      <c r="A28" s="41" t="n">
        <v>11</v>
      </c>
      <c r="B28" s="41" t="n">
        <v>6</v>
      </c>
      <c r="C28" s="41" t="inlineStr">
        <is>
          <t>99,999,999,999</t>
        </is>
      </c>
      <c r="D28" s="41" t="n">
        <v>11</v>
      </c>
      <c r="E28" s="41" t="n">
        <v>4</v>
      </c>
      <c r="F28" s="30" t="inlineStr">
        <is>
          <t>...</t>
        </is>
      </c>
      <c r="G28" s="30" t="inlineStr">
        <is>
          <t>S9(11) COMP-3</t>
        </is>
      </c>
      <c r="H28" s="30" t="inlineStr"/>
    </row>
    <row r="29">
      <c r="A29" s="38" t="n">
        <v>12</v>
      </c>
      <c r="B29" s="38" t="n">
        <v>7</v>
      </c>
      <c r="C29" s="38" t="inlineStr">
        <is>
          <t>999,999,999,999</t>
        </is>
      </c>
      <c r="D29" s="38" t="n">
        <v>12</v>
      </c>
      <c r="E29" s="38" t="n">
        <v>4</v>
      </c>
      <c r="F29" s="31" t="inlineStr">
        <is>
          <t>...</t>
        </is>
      </c>
      <c r="G29" s="31" t="inlineStr">
        <is>
          <t>S9(12) COMP-3</t>
        </is>
      </c>
      <c r="H29" s="31" t="inlineStr"/>
    </row>
    <row r="30">
      <c r="A30" s="41" t="n">
        <v>15</v>
      </c>
      <c r="B30" s="41" t="n">
        <v>8</v>
      </c>
      <c r="C30" s="41" t="inlineStr">
        <is>
          <t>999,999,999,999,999</t>
        </is>
      </c>
      <c r="D30" s="41" t="n">
        <v>15</v>
      </c>
      <c r="E30" s="41" t="n">
        <v>8</v>
      </c>
      <c r="F30" s="30" t="inlineStr">
        <is>
          <t>...</t>
        </is>
      </c>
      <c r="G30" s="30" t="inlineStr">
        <is>
          <t>S9(15) COMP-3</t>
        </is>
      </c>
      <c r="H30" s="30" t="inlineStr"/>
    </row>
    <row r="31">
      <c r="A31" s="38" t="n">
        <v>18</v>
      </c>
      <c r="B31" s="38" t="n">
        <v>10</v>
      </c>
      <c r="C31" s="38" t="inlineStr">
        <is>
          <t>999,999,999,999,999,999</t>
        </is>
      </c>
      <c r="D31" s="38" t="n">
        <v>18</v>
      </c>
      <c r="E31" s="38" t="n">
        <v>8</v>
      </c>
      <c r="F31" s="31" t="inlineStr">
        <is>
          <t>...</t>
        </is>
      </c>
      <c r="G31" s="31" t="inlineStr">
        <is>
          <t>S9(18) COMP-3</t>
        </is>
      </c>
      <c r="H31" s="31" t="inlineStr">
        <is>
          <t>Max practical</t>
        </is>
      </c>
    </row>
    <row r="34">
      <c r="A34" s="32" t="inlineStr">
        <is>
          <t>Interactive COMP-3 Calculator</t>
        </is>
      </c>
    </row>
    <row r="35">
      <c r="A35" s="33" t="inlineStr">
        <is>
          <t>Integer digits (n)</t>
        </is>
      </c>
      <c r="B35" s="34" t="n">
        <v>5</v>
      </c>
    </row>
    <row r="36">
      <c r="A36" s="33" t="inlineStr">
        <is>
          <t>Decimal digits (d)</t>
        </is>
      </c>
      <c r="B36" s="34" t="n">
        <v>2</v>
      </c>
    </row>
    <row r="37">
      <c r="A37" s="33" t="inlineStr">
        <is>
          <t>Signed? (1=Yes, 0=No)</t>
        </is>
      </c>
      <c r="B37" s="34" t="n">
        <v>1</v>
      </c>
    </row>
    <row r="38">
      <c r="A38" s="33" t="inlineStr">
        <is>
          <t>Total digits (n+d)</t>
        </is>
      </c>
      <c r="B38" s="35">
        <f>B35+B36</f>
        <v/>
      </c>
    </row>
    <row r="39">
      <c r="A39" s="33" t="inlineStr">
        <is>
          <t>COMP-3 bytes</t>
        </is>
      </c>
      <c r="B39" s="35">
        <f>CEILING((B35+B36+1)/2,1)</f>
        <v/>
      </c>
    </row>
    <row r="40">
      <c r="A40" s="33" t="inlineStr">
        <is>
          <t>DISPLAY bytes (n+d+sign)</t>
        </is>
      </c>
      <c r="B40" s="35">
        <f>B35+B36+B37</f>
        <v/>
      </c>
    </row>
    <row r="41">
      <c r="A41" s="33" t="inlineStr">
        <is>
          <t>COMP binary bytes</t>
        </is>
      </c>
      <c r="B41" s="35">
        <f>IF(B35+B36&lt;=4,2,IF(B35+B36&lt;=9,4,8))</f>
        <v/>
      </c>
    </row>
    <row r="42">
      <c r="A42" s="33" t="inlineStr">
        <is>
          <t>PIC clause generated</t>
        </is>
      </c>
      <c r="B42" s="35">
        <f>IF(B37=1,"S","")&amp;"9("&amp;B35&amp;")"&amp;IF(B36&gt;0,"V9("&amp;B36&amp;")","")&amp;" COMP-3"</f>
        <v/>
      </c>
    </row>
  </sheetData>
  <mergeCells count="22">
    <mergeCell ref="B40:H40"/>
    <mergeCell ref="B9:H9"/>
    <mergeCell ref="B6:H6"/>
    <mergeCell ref="A1:H1"/>
    <mergeCell ref="B5:H5"/>
    <mergeCell ref="B36:H36"/>
    <mergeCell ref="B41:H41"/>
    <mergeCell ref="B35:H35"/>
    <mergeCell ref="B4:H4"/>
    <mergeCell ref="A16:H16"/>
    <mergeCell ref="B7:H7"/>
    <mergeCell ref="A3:H3"/>
    <mergeCell ref="B12:H12"/>
    <mergeCell ref="B39:H39"/>
    <mergeCell ref="B11:H11"/>
    <mergeCell ref="B42:H42"/>
    <mergeCell ref="B8:H8"/>
    <mergeCell ref="B13:H13"/>
    <mergeCell ref="B38:H38"/>
    <mergeCell ref="B10:H10"/>
    <mergeCell ref="B37:H37"/>
    <mergeCell ref="A34:H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14" customWidth="1" min="5" max="5"/>
    <col width="24" customWidth="1" min="6" max="6"/>
  </cols>
  <sheetData>
    <row r="1" ht="30" customHeight="1">
      <c r="A1" s="27" t="inlineStr">
        <is>
          <t>EBCDIC ↔ ASCII Character Reference (IBM Code Page 037)</t>
        </is>
      </c>
    </row>
    <row r="2">
      <c r="A2" s="36" t="inlineStr">
        <is>
          <t>Common printable characters.  Mainframe data arrives in EBCDIC; ASCII is used on PC/Linux.</t>
        </is>
      </c>
    </row>
    <row r="3">
      <c r="A3" s="29" t="inlineStr">
        <is>
          <t>Character</t>
        </is>
      </c>
      <c r="B3" s="29" t="inlineStr">
        <is>
          <t>EBCDIC (Dec)</t>
        </is>
      </c>
      <c r="C3" s="29" t="inlineStr">
        <is>
          <t>EBCDIC (Hex)</t>
        </is>
      </c>
      <c r="D3" s="29" t="inlineStr">
        <is>
          <t>ASCII (Dec)</t>
        </is>
      </c>
      <c r="E3" s="29" t="inlineStr">
        <is>
          <t>ASCII (Hex)</t>
        </is>
      </c>
      <c r="F3" s="29" t="inlineStr">
        <is>
          <t>Notes</t>
        </is>
      </c>
    </row>
    <row r="4">
      <c r="A4" s="50" t="inlineStr">
        <is>
          <t> </t>
        </is>
      </c>
      <c r="B4" s="41" t="n">
        <v>64</v>
      </c>
      <c r="C4" s="41" t="inlineStr">
        <is>
          <t>40</t>
        </is>
      </c>
      <c r="D4" s="41" t="n">
        <v>32</v>
      </c>
      <c r="E4" s="41" t="inlineStr">
        <is>
          <t>20</t>
        </is>
      </c>
      <c r="F4" s="41" t="inlineStr">
        <is>
          <t>Space</t>
        </is>
      </c>
    </row>
    <row r="5">
      <c r="A5" s="51" t="inlineStr">
        <is>
          <t>.</t>
        </is>
      </c>
      <c r="B5" s="38" t="n">
        <v>75</v>
      </c>
      <c r="C5" s="38" t="inlineStr">
        <is>
          <t>4B</t>
        </is>
      </c>
      <c r="D5" s="38" t="n">
        <v>46</v>
      </c>
      <c r="E5" s="38" t="inlineStr">
        <is>
          <t>2E</t>
        </is>
      </c>
      <c r="F5" s="38" t="inlineStr">
        <is>
          <t>Period</t>
        </is>
      </c>
    </row>
    <row r="6">
      <c r="A6" s="50" t="inlineStr">
        <is>
          <t>&lt;</t>
        </is>
      </c>
      <c r="B6" s="41" t="n">
        <v>76</v>
      </c>
      <c r="C6" s="41" t="inlineStr">
        <is>
          <t>4C</t>
        </is>
      </c>
      <c r="D6" s="41" t="n">
        <v>60</v>
      </c>
      <c r="E6" s="41" t="inlineStr">
        <is>
          <t>3C</t>
        </is>
      </c>
      <c r="F6" s="41" t="inlineStr">
        <is>
          <t>Less than</t>
        </is>
      </c>
    </row>
    <row r="7">
      <c r="A7" s="51" t="inlineStr">
        <is>
          <t>(</t>
        </is>
      </c>
      <c r="B7" s="38" t="n">
        <v>77</v>
      </c>
      <c r="C7" s="38" t="inlineStr">
        <is>
          <t>4D</t>
        </is>
      </c>
      <c r="D7" s="38" t="n">
        <v>40</v>
      </c>
      <c r="E7" s="38" t="inlineStr">
        <is>
          <t>28</t>
        </is>
      </c>
      <c r="F7" s="38" t="inlineStr">
        <is>
          <t>Left paren</t>
        </is>
      </c>
    </row>
    <row r="8">
      <c r="A8" s="50" t="inlineStr">
        <is>
          <t>+</t>
        </is>
      </c>
      <c r="B8" s="41" t="n">
        <v>78</v>
      </c>
      <c r="C8" s="41" t="inlineStr">
        <is>
          <t>4E</t>
        </is>
      </c>
      <c r="D8" s="41" t="n">
        <v>43</v>
      </c>
      <c r="E8" s="41" t="inlineStr">
        <is>
          <t>2B</t>
        </is>
      </c>
      <c r="F8" s="41" t="inlineStr">
        <is>
          <t>Plus</t>
        </is>
      </c>
    </row>
    <row r="9">
      <c r="A9" s="51" t="inlineStr">
        <is>
          <t>|</t>
        </is>
      </c>
      <c r="B9" s="38" t="n">
        <v>79</v>
      </c>
      <c r="C9" s="38" t="inlineStr">
        <is>
          <t>4F</t>
        </is>
      </c>
      <c r="D9" s="38" t="n">
        <v>124</v>
      </c>
      <c r="E9" s="38" t="inlineStr">
        <is>
          <t>7C</t>
        </is>
      </c>
      <c r="F9" s="38" t="inlineStr">
        <is>
          <t>Vertical bar</t>
        </is>
      </c>
    </row>
    <row r="10">
      <c r="A10" s="50" t="inlineStr">
        <is>
          <t>&amp;</t>
        </is>
      </c>
      <c r="B10" s="41" t="n">
        <v>80</v>
      </c>
      <c r="C10" s="41" t="inlineStr">
        <is>
          <t>50</t>
        </is>
      </c>
      <c r="D10" s="41" t="n">
        <v>38</v>
      </c>
      <c r="E10" s="41" t="inlineStr">
        <is>
          <t>26</t>
        </is>
      </c>
      <c r="F10" s="41" t="inlineStr">
        <is>
          <t>Ampersand</t>
        </is>
      </c>
    </row>
    <row r="11">
      <c r="A11" s="51" t="inlineStr">
        <is>
          <t>!</t>
        </is>
      </c>
      <c r="B11" s="38" t="n">
        <v>90</v>
      </c>
      <c r="C11" s="38" t="inlineStr">
        <is>
          <t>5A</t>
        </is>
      </c>
      <c r="D11" s="38" t="n">
        <v>33</v>
      </c>
      <c r="E11" s="38" t="inlineStr">
        <is>
          <t>21</t>
        </is>
      </c>
      <c r="F11" s="38" t="inlineStr">
        <is>
          <t>Exclamation</t>
        </is>
      </c>
    </row>
    <row r="12">
      <c r="A12" s="50" t="inlineStr">
        <is>
          <t>$</t>
        </is>
      </c>
      <c r="B12" s="41" t="n">
        <v>91</v>
      </c>
      <c r="C12" s="41" t="inlineStr">
        <is>
          <t>5B</t>
        </is>
      </c>
      <c r="D12" s="41" t="n">
        <v>36</v>
      </c>
      <c r="E12" s="41" t="inlineStr">
        <is>
          <t>24</t>
        </is>
      </c>
      <c r="F12" s="41" t="inlineStr">
        <is>
          <t>Dollar sign</t>
        </is>
      </c>
    </row>
    <row r="13">
      <c r="A13" s="51" t="inlineStr">
        <is>
          <t>*</t>
        </is>
      </c>
      <c r="B13" s="38" t="n">
        <v>92</v>
      </c>
      <c r="C13" s="38" t="inlineStr">
        <is>
          <t>5C</t>
        </is>
      </c>
      <c r="D13" s="38" t="n">
        <v>42</v>
      </c>
      <c r="E13" s="38" t="inlineStr">
        <is>
          <t>2A</t>
        </is>
      </c>
      <c r="F13" s="38" t="inlineStr">
        <is>
          <t>Asterisk</t>
        </is>
      </c>
    </row>
    <row r="14">
      <c r="A14" s="50" t="inlineStr">
        <is>
          <t>)</t>
        </is>
      </c>
      <c r="B14" s="41" t="n">
        <v>93</v>
      </c>
      <c r="C14" s="41" t="inlineStr">
        <is>
          <t>5D</t>
        </is>
      </c>
      <c r="D14" s="41" t="n">
        <v>41</v>
      </c>
      <c r="E14" s="41" t="inlineStr">
        <is>
          <t>29</t>
        </is>
      </c>
      <c r="F14" s="41" t="inlineStr">
        <is>
          <t>Right paren</t>
        </is>
      </c>
    </row>
    <row r="15">
      <c r="A15" s="51" t="inlineStr">
        <is>
          <t>;</t>
        </is>
      </c>
      <c r="B15" s="38" t="n">
        <v>94</v>
      </c>
      <c r="C15" s="38" t="inlineStr">
        <is>
          <t>5E</t>
        </is>
      </c>
      <c r="D15" s="38" t="n">
        <v>59</v>
      </c>
      <c r="E15" s="38" t="inlineStr">
        <is>
          <t>3B</t>
        </is>
      </c>
      <c r="F15" s="38" t="inlineStr">
        <is>
          <t>Semicolon</t>
        </is>
      </c>
    </row>
    <row r="16">
      <c r="A16" s="50" t="inlineStr">
        <is>
          <t>-</t>
        </is>
      </c>
      <c r="B16" s="41" t="n">
        <v>96</v>
      </c>
      <c r="C16" s="41" t="inlineStr">
        <is>
          <t>60</t>
        </is>
      </c>
      <c r="D16" s="41" t="n">
        <v>45</v>
      </c>
      <c r="E16" s="41" t="inlineStr">
        <is>
          <t>2D</t>
        </is>
      </c>
      <c r="F16" s="41" t="inlineStr">
        <is>
          <t>Hyphen/minus</t>
        </is>
      </c>
    </row>
    <row r="17">
      <c r="A17" s="51" t="inlineStr">
        <is>
          <t>/</t>
        </is>
      </c>
      <c r="B17" s="38" t="n">
        <v>97</v>
      </c>
      <c r="C17" s="38" t="inlineStr">
        <is>
          <t>61</t>
        </is>
      </c>
      <c r="D17" s="38" t="n">
        <v>47</v>
      </c>
      <c r="E17" s="38" t="inlineStr">
        <is>
          <t>2F</t>
        </is>
      </c>
      <c r="F17" s="38" t="inlineStr">
        <is>
          <t>Slash</t>
        </is>
      </c>
    </row>
    <row r="18">
      <c r="A18" s="50" t="inlineStr">
        <is>
          <t>,</t>
        </is>
      </c>
      <c r="B18" s="41" t="n">
        <v>107</v>
      </c>
      <c r="C18" s="41" t="inlineStr">
        <is>
          <t>6B</t>
        </is>
      </c>
      <c r="D18" s="41" t="n">
        <v>44</v>
      </c>
      <c r="E18" s="41" t="inlineStr">
        <is>
          <t>2C</t>
        </is>
      </c>
      <c r="F18" s="41" t="inlineStr">
        <is>
          <t>Comma</t>
        </is>
      </c>
    </row>
    <row r="19">
      <c r="A19" s="51" t="inlineStr">
        <is>
          <t>%</t>
        </is>
      </c>
      <c r="B19" s="38" t="n">
        <v>108</v>
      </c>
      <c r="C19" s="38" t="inlineStr">
        <is>
          <t>6C</t>
        </is>
      </c>
      <c r="D19" s="38" t="n">
        <v>37</v>
      </c>
      <c r="E19" s="38" t="inlineStr">
        <is>
          <t>25</t>
        </is>
      </c>
      <c r="F19" s="38" t="inlineStr">
        <is>
          <t>Percent</t>
        </is>
      </c>
    </row>
    <row r="20">
      <c r="A20" s="50" t="inlineStr">
        <is>
          <t>_</t>
        </is>
      </c>
      <c r="B20" s="41" t="n">
        <v>109</v>
      </c>
      <c r="C20" s="41" t="inlineStr">
        <is>
          <t>6D</t>
        </is>
      </c>
      <c r="D20" s="41" t="n">
        <v>95</v>
      </c>
      <c r="E20" s="41" t="inlineStr">
        <is>
          <t>5F</t>
        </is>
      </c>
      <c r="F20" s="41" t="inlineStr">
        <is>
          <t>Underscore</t>
        </is>
      </c>
    </row>
    <row r="21">
      <c r="A21" s="51" t="inlineStr">
        <is>
          <t>&gt;</t>
        </is>
      </c>
      <c r="B21" s="38" t="n">
        <v>110</v>
      </c>
      <c r="C21" s="38" t="inlineStr">
        <is>
          <t>6E</t>
        </is>
      </c>
      <c r="D21" s="38" t="n">
        <v>62</v>
      </c>
      <c r="E21" s="38" t="inlineStr">
        <is>
          <t>3E</t>
        </is>
      </c>
      <c r="F21" s="38" t="inlineStr">
        <is>
          <t>Greater than</t>
        </is>
      </c>
    </row>
    <row r="22">
      <c r="A22" s="50" t="inlineStr">
        <is>
          <t>?</t>
        </is>
      </c>
      <c r="B22" s="41" t="n">
        <v>111</v>
      </c>
      <c r="C22" s="41" t="inlineStr">
        <is>
          <t>6F</t>
        </is>
      </c>
      <c r="D22" s="41" t="n">
        <v>63</v>
      </c>
      <c r="E22" s="41" t="inlineStr">
        <is>
          <t>3F</t>
        </is>
      </c>
      <c r="F22" s="41" t="inlineStr">
        <is>
          <t>Question mark</t>
        </is>
      </c>
    </row>
    <row r="23">
      <c r="A23" s="51" t="inlineStr">
        <is>
          <t>:</t>
        </is>
      </c>
      <c r="B23" s="38" t="n">
        <v>122</v>
      </c>
      <c r="C23" s="38" t="inlineStr">
        <is>
          <t>7A</t>
        </is>
      </c>
      <c r="D23" s="38" t="n">
        <v>58</v>
      </c>
      <c r="E23" s="38" t="inlineStr">
        <is>
          <t>3A</t>
        </is>
      </c>
      <c r="F23" s="38" t="inlineStr">
        <is>
          <t>Colon</t>
        </is>
      </c>
    </row>
    <row r="24">
      <c r="A24" s="50" t="inlineStr">
        <is>
          <t>#</t>
        </is>
      </c>
      <c r="B24" s="41" t="n">
        <v>123</v>
      </c>
      <c r="C24" s="41" t="inlineStr">
        <is>
          <t>7B</t>
        </is>
      </c>
      <c r="D24" s="41" t="n">
        <v>35</v>
      </c>
      <c r="E24" s="41" t="inlineStr">
        <is>
          <t>23</t>
        </is>
      </c>
      <c r="F24" s="41" t="inlineStr">
        <is>
          <t>Hash/pound</t>
        </is>
      </c>
    </row>
    <row r="25">
      <c r="A25" s="51" t="inlineStr">
        <is>
          <t>@</t>
        </is>
      </c>
      <c r="B25" s="38" t="n">
        <v>124</v>
      </c>
      <c r="C25" s="38" t="inlineStr">
        <is>
          <t>7C</t>
        </is>
      </c>
      <c r="D25" s="38" t="n">
        <v>64</v>
      </c>
      <c r="E25" s="38" t="inlineStr">
        <is>
          <t>40</t>
        </is>
      </c>
      <c r="F25" s="38" t="inlineStr">
        <is>
          <t>At sign</t>
        </is>
      </c>
    </row>
    <row r="26">
      <c r="A26" s="50" t="inlineStr">
        <is>
          <t>'</t>
        </is>
      </c>
      <c r="B26" s="41" t="n">
        <v>125</v>
      </c>
      <c r="C26" s="41" t="inlineStr">
        <is>
          <t>7D</t>
        </is>
      </c>
      <c r="D26" s="41" t="n">
        <v>39</v>
      </c>
      <c r="E26" s="41" t="inlineStr">
        <is>
          <t>27</t>
        </is>
      </c>
      <c r="F26" s="41" t="inlineStr">
        <is>
          <t>Apostrophe</t>
        </is>
      </c>
    </row>
    <row r="27">
      <c r="A27" s="51" t="inlineStr">
        <is>
          <t>=</t>
        </is>
      </c>
      <c r="B27" s="38" t="n">
        <v>126</v>
      </c>
      <c r="C27" s="38" t="inlineStr">
        <is>
          <t>7E</t>
        </is>
      </c>
      <c r="D27" s="38" t="n">
        <v>61</v>
      </c>
      <c r="E27" s="38" t="inlineStr">
        <is>
          <t>3D</t>
        </is>
      </c>
      <c r="F27" s="38" t="inlineStr">
        <is>
          <t>Equals</t>
        </is>
      </c>
    </row>
    <row r="28">
      <c r="A28" s="50" t="inlineStr">
        <is>
          <t>"</t>
        </is>
      </c>
      <c r="B28" s="41" t="n">
        <v>127</v>
      </c>
      <c r="C28" s="41" t="inlineStr">
        <is>
          <t>7F</t>
        </is>
      </c>
      <c r="D28" s="41" t="n">
        <v>34</v>
      </c>
      <c r="E28" s="41" t="inlineStr">
        <is>
          <t>22</t>
        </is>
      </c>
      <c r="F28" s="41" t="inlineStr">
        <is>
          <t>Double quote</t>
        </is>
      </c>
    </row>
    <row r="29">
      <c r="A29" s="51" t="inlineStr">
        <is>
          <t>a</t>
        </is>
      </c>
      <c r="B29" s="38" t="n">
        <v>129</v>
      </c>
      <c r="C29" s="38" t="inlineStr">
        <is>
          <t>81</t>
        </is>
      </c>
      <c r="D29" s="38" t="n">
        <v>97</v>
      </c>
      <c r="E29" s="38" t="inlineStr">
        <is>
          <t>61</t>
        </is>
      </c>
      <c r="F29" s="38" t="inlineStr"/>
    </row>
    <row r="30">
      <c r="A30" s="50" t="inlineStr">
        <is>
          <t>b</t>
        </is>
      </c>
      <c r="B30" s="41" t="n">
        <v>130</v>
      </c>
      <c r="C30" s="41" t="inlineStr">
        <is>
          <t>82</t>
        </is>
      </c>
      <c r="D30" s="41" t="n">
        <v>98</v>
      </c>
      <c r="E30" s="41" t="inlineStr">
        <is>
          <t>62</t>
        </is>
      </c>
      <c r="F30" s="41" t="inlineStr"/>
    </row>
    <row r="31">
      <c r="A31" s="51" t="inlineStr">
        <is>
          <t>c</t>
        </is>
      </c>
      <c r="B31" s="38" t="n">
        <v>131</v>
      </c>
      <c r="C31" s="38" t="inlineStr">
        <is>
          <t>83</t>
        </is>
      </c>
      <c r="D31" s="38" t="n">
        <v>99</v>
      </c>
      <c r="E31" s="38" t="inlineStr">
        <is>
          <t>63</t>
        </is>
      </c>
      <c r="F31" s="38" t="inlineStr"/>
    </row>
    <row r="32">
      <c r="A32" s="50" t="inlineStr">
        <is>
          <t>d</t>
        </is>
      </c>
      <c r="B32" s="41" t="n">
        <v>132</v>
      </c>
      <c r="C32" s="41" t="inlineStr">
        <is>
          <t>84</t>
        </is>
      </c>
      <c r="D32" s="41" t="n">
        <v>100</v>
      </c>
      <c r="E32" s="41" t="inlineStr">
        <is>
          <t>64</t>
        </is>
      </c>
      <c r="F32" s="41" t="inlineStr"/>
    </row>
    <row r="33">
      <c r="A33" s="51" t="inlineStr">
        <is>
          <t>e</t>
        </is>
      </c>
      <c r="B33" s="38" t="n">
        <v>133</v>
      </c>
      <c r="C33" s="38" t="inlineStr">
        <is>
          <t>85</t>
        </is>
      </c>
      <c r="D33" s="38" t="n">
        <v>101</v>
      </c>
      <c r="E33" s="38" t="inlineStr">
        <is>
          <t>65</t>
        </is>
      </c>
      <c r="F33" s="38" t="inlineStr"/>
    </row>
    <row r="34">
      <c r="A34" s="50" t="inlineStr">
        <is>
          <t>f</t>
        </is>
      </c>
      <c r="B34" s="41" t="n">
        <v>134</v>
      </c>
      <c r="C34" s="41" t="inlineStr">
        <is>
          <t>86</t>
        </is>
      </c>
      <c r="D34" s="41" t="n">
        <v>102</v>
      </c>
      <c r="E34" s="41" t="inlineStr">
        <is>
          <t>66</t>
        </is>
      </c>
      <c r="F34" s="41" t="inlineStr"/>
    </row>
    <row r="35">
      <c r="A35" s="51" t="inlineStr">
        <is>
          <t>g</t>
        </is>
      </c>
      <c r="B35" s="38" t="n">
        <v>135</v>
      </c>
      <c r="C35" s="38" t="inlineStr">
        <is>
          <t>87</t>
        </is>
      </c>
      <c r="D35" s="38" t="n">
        <v>103</v>
      </c>
      <c r="E35" s="38" t="inlineStr">
        <is>
          <t>67</t>
        </is>
      </c>
      <c r="F35" s="38" t="inlineStr"/>
    </row>
    <row r="36">
      <c r="A36" s="50" t="inlineStr">
        <is>
          <t>h</t>
        </is>
      </c>
      <c r="B36" s="41" t="n">
        <v>136</v>
      </c>
      <c r="C36" s="41" t="inlineStr">
        <is>
          <t>88</t>
        </is>
      </c>
      <c r="D36" s="41" t="n">
        <v>104</v>
      </c>
      <c r="E36" s="41" t="inlineStr">
        <is>
          <t>68</t>
        </is>
      </c>
      <c r="F36" s="41" t="inlineStr"/>
    </row>
    <row r="37">
      <c r="A37" s="51" t="inlineStr">
        <is>
          <t>i</t>
        </is>
      </c>
      <c r="B37" s="38" t="n">
        <v>137</v>
      </c>
      <c r="C37" s="38" t="inlineStr">
        <is>
          <t>89</t>
        </is>
      </c>
      <c r="D37" s="38" t="n">
        <v>105</v>
      </c>
      <c r="E37" s="38" t="inlineStr">
        <is>
          <t>69</t>
        </is>
      </c>
      <c r="F37" s="38" t="inlineStr"/>
    </row>
    <row r="38">
      <c r="A38" s="50" t="inlineStr">
        <is>
          <t>j</t>
        </is>
      </c>
      <c r="B38" s="41" t="n">
        <v>145</v>
      </c>
      <c r="C38" s="41" t="inlineStr">
        <is>
          <t>91</t>
        </is>
      </c>
      <c r="D38" s="41" t="n">
        <v>106</v>
      </c>
      <c r="E38" s="41" t="inlineStr">
        <is>
          <t>6A</t>
        </is>
      </c>
      <c r="F38" s="41" t="inlineStr"/>
    </row>
    <row r="39">
      <c r="A39" s="51" t="inlineStr">
        <is>
          <t>k</t>
        </is>
      </c>
      <c r="B39" s="38" t="n">
        <v>146</v>
      </c>
      <c r="C39" s="38" t="inlineStr">
        <is>
          <t>92</t>
        </is>
      </c>
      <c r="D39" s="38" t="n">
        <v>107</v>
      </c>
      <c r="E39" s="38" t="inlineStr">
        <is>
          <t>6B</t>
        </is>
      </c>
      <c r="F39" s="38" t="inlineStr"/>
    </row>
    <row r="40">
      <c r="A40" s="50" t="inlineStr">
        <is>
          <t>l</t>
        </is>
      </c>
      <c r="B40" s="41" t="n">
        <v>147</v>
      </c>
      <c r="C40" s="41" t="inlineStr">
        <is>
          <t>93</t>
        </is>
      </c>
      <c r="D40" s="41" t="n">
        <v>108</v>
      </c>
      <c r="E40" s="41" t="inlineStr">
        <is>
          <t>6C</t>
        </is>
      </c>
      <c r="F40" s="41" t="inlineStr"/>
    </row>
    <row r="41">
      <c r="A41" s="51" t="inlineStr">
        <is>
          <t>m</t>
        </is>
      </c>
      <c r="B41" s="38" t="n">
        <v>148</v>
      </c>
      <c r="C41" s="38" t="inlineStr">
        <is>
          <t>94</t>
        </is>
      </c>
      <c r="D41" s="38" t="n">
        <v>109</v>
      </c>
      <c r="E41" s="38" t="inlineStr">
        <is>
          <t>6D</t>
        </is>
      </c>
      <c r="F41" s="38" t="inlineStr"/>
    </row>
    <row r="42">
      <c r="A42" s="50" t="inlineStr">
        <is>
          <t>n</t>
        </is>
      </c>
      <c r="B42" s="41" t="n">
        <v>149</v>
      </c>
      <c r="C42" s="41" t="inlineStr">
        <is>
          <t>95</t>
        </is>
      </c>
      <c r="D42" s="41" t="n">
        <v>110</v>
      </c>
      <c r="E42" s="41" t="inlineStr">
        <is>
          <t>6E</t>
        </is>
      </c>
      <c r="F42" s="41" t="inlineStr"/>
    </row>
    <row r="43">
      <c r="A43" s="51" t="inlineStr">
        <is>
          <t>o</t>
        </is>
      </c>
      <c r="B43" s="38" t="n">
        <v>150</v>
      </c>
      <c r="C43" s="38" t="inlineStr">
        <is>
          <t>96</t>
        </is>
      </c>
      <c r="D43" s="38" t="n">
        <v>111</v>
      </c>
      <c r="E43" s="38" t="inlineStr">
        <is>
          <t>6F</t>
        </is>
      </c>
      <c r="F43" s="38" t="inlineStr"/>
    </row>
    <row r="44">
      <c r="A44" s="50" t="inlineStr">
        <is>
          <t>p</t>
        </is>
      </c>
      <c r="B44" s="41" t="n">
        <v>151</v>
      </c>
      <c r="C44" s="41" t="inlineStr">
        <is>
          <t>97</t>
        </is>
      </c>
      <c r="D44" s="41" t="n">
        <v>112</v>
      </c>
      <c r="E44" s="41" t="inlineStr">
        <is>
          <t>70</t>
        </is>
      </c>
      <c r="F44" s="41" t="inlineStr"/>
    </row>
    <row r="45">
      <c r="A45" s="51" t="inlineStr">
        <is>
          <t>q</t>
        </is>
      </c>
      <c r="B45" s="38" t="n">
        <v>152</v>
      </c>
      <c r="C45" s="38" t="inlineStr">
        <is>
          <t>98</t>
        </is>
      </c>
      <c r="D45" s="38" t="n">
        <v>113</v>
      </c>
      <c r="E45" s="38" t="inlineStr">
        <is>
          <t>71</t>
        </is>
      </c>
      <c r="F45" s="38" t="inlineStr"/>
    </row>
    <row r="46">
      <c r="A46" s="50" t="inlineStr">
        <is>
          <t>r</t>
        </is>
      </c>
      <c r="B46" s="41" t="n">
        <v>153</v>
      </c>
      <c r="C46" s="41" t="inlineStr">
        <is>
          <t>99</t>
        </is>
      </c>
      <c r="D46" s="41" t="n">
        <v>114</v>
      </c>
      <c r="E46" s="41" t="inlineStr">
        <is>
          <t>72</t>
        </is>
      </c>
      <c r="F46" s="41" t="inlineStr"/>
    </row>
    <row r="47">
      <c r="A47" s="51" t="inlineStr">
        <is>
          <t>s</t>
        </is>
      </c>
      <c r="B47" s="38" t="n">
        <v>162</v>
      </c>
      <c r="C47" s="38" t="inlineStr">
        <is>
          <t>A2</t>
        </is>
      </c>
      <c r="D47" s="38" t="n">
        <v>115</v>
      </c>
      <c r="E47" s="38" t="inlineStr">
        <is>
          <t>73</t>
        </is>
      </c>
      <c r="F47" s="38" t="inlineStr"/>
    </row>
    <row r="48">
      <c r="A48" s="50" t="inlineStr">
        <is>
          <t>t</t>
        </is>
      </c>
      <c r="B48" s="41" t="n">
        <v>163</v>
      </c>
      <c r="C48" s="41" t="inlineStr">
        <is>
          <t>A3</t>
        </is>
      </c>
      <c r="D48" s="41" t="n">
        <v>116</v>
      </c>
      <c r="E48" s="41" t="inlineStr">
        <is>
          <t>74</t>
        </is>
      </c>
      <c r="F48" s="41" t="inlineStr"/>
    </row>
    <row r="49">
      <c r="A49" s="51" t="inlineStr">
        <is>
          <t>u</t>
        </is>
      </c>
      <c r="B49" s="38" t="n">
        <v>164</v>
      </c>
      <c r="C49" s="38" t="inlineStr">
        <is>
          <t>A4</t>
        </is>
      </c>
      <c r="D49" s="38" t="n">
        <v>117</v>
      </c>
      <c r="E49" s="38" t="inlineStr">
        <is>
          <t>75</t>
        </is>
      </c>
      <c r="F49" s="38" t="inlineStr"/>
    </row>
    <row r="50">
      <c r="A50" s="50" t="inlineStr">
        <is>
          <t>v</t>
        </is>
      </c>
      <c r="B50" s="41" t="n">
        <v>165</v>
      </c>
      <c r="C50" s="41" t="inlineStr">
        <is>
          <t>A5</t>
        </is>
      </c>
      <c r="D50" s="41" t="n">
        <v>118</v>
      </c>
      <c r="E50" s="41" t="inlineStr">
        <is>
          <t>76</t>
        </is>
      </c>
      <c r="F50" s="41" t="inlineStr"/>
    </row>
    <row r="51">
      <c r="A51" s="51" t="inlineStr">
        <is>
          <t>w</t>
        </is>
      </c>
      <c r="B51" s="38" t="n">
        <v>166</v>
      </c>
      <c r="C51" s="38" t="inlineStr">
        <is>
          <t>A6</t>
        </is>
      </c>
      <c r="D51" s="38" t="n">
        <v>119</v>
      </c>
      <c r="E51" s="38" t="inlineStr">
        <is>
          <t>77</t>
        </is>
      </c>
      <c r="F51" s="38" t="inlineStr"/>
    </row>
    <row r="52">
      <c r="A52" s="50" t="inlineStr">
        <is>
          <t>x</t>
        </is>
      </c>
      <c r="B52" s="41" t="n">
        <v>167</v>
      </c>
      <c r="C52" s="41" t="inlineStr">
        <is>
          <t>A7</t>
        </is>
      </c>
      <c r="D52" s="41" t="n">
        <v>120</v>
      </c>
      <c r="E52" s="41" t="inlineStr">
        <is>
          <t>78</t>
        </is>
      </c>
      <c r="F52" s="41" t="inlineStr"/>
    </row>
    <row r="53">
      <c r="A53" s="51" t="inlineStr">
        <is>
          <t>y</t>
        </is>
      </c>
      <c r="B53" s="38" t="n">
        <v>168</v>
      </c>
      <c r="C53" s="38" t="inlineStr">
        <is>
          <t>A8</t>
        </is>
      </c>
      <c r="D53" s="38" t="n">
        <v>121</v>
      </c>
      <c r="E53" s="38" t="inlineStr">
        <is>
          <t>79</t>
        </is>
      </c>
      <c r="F53" s="38" t="inlineStr"/>
    </row>
    <row r="54">
      <c r="A54" s="50" t="inlineStr">
        <is>
          <t>z</t>
        </is>
      </c>
      <c r="B54" s="41" t="n">
        <v>169</v>
      </c>
      <c r="C54" s="41" t="inlineStr">
        <is>
          <t>A9</t>
        </is>
      </c>
      <c r="D54" s="41" t="n">
        <v>122</v>
      </c>
      <c r="E54" s="41" t="inlineStr">
        <is>
          <t>7A</t>
        </is>
      </c>
      <c r="F54" s="41" t="inlineStr"/>
    </row>
    <row r="55">
      <c r="A55" s="51" t="inlineStr">
        <is>
          <t>A</t>
        </is>
      </c>
      <c r="B55" s="38" t="n">
        <v>193</v>
      </c>
      <c r="C55" s="38" t="inlineStr">
        <is>
          <t>C1</t>
        </is>
      </c>
      <c r="D55" s="38" t="n">
        <v>65</v>
      </c>
      <c r="E55" s="38" t="inlineStr">
        <is>
          <t>41</t>
        </is>
      </c>
      <c r="F55" s="38" t="inlineStr"/>
    </row>
    <row r="56">
      <c r="A56" s="50" t="inlineStr">
        <is>
          <t>B</t>
        </is>
      </c>
      <c r="B56" s="41" t="n">
        <v>194</v>
      </c>
      <c r="C56" s="41" t="inlineStr">
        <is>
          <t>C2</t>
        </is>
      </c>
      <c r="D56" s="41" t="n">
        <v>66</v>
      </c>
      <c r="E56" s="41" t="inlineStr">
        <is>
          <t>42</t>
        </is>
      </c>
      <c r="F56" s="41" t="inlineStr"/>
    </row>
    <row r="57">
      <c r="A57" s="51" t="inlineStr">
        <is>
          <t>C</t>
        </is>
      </c>
      <c r="B57" s="38" t="n">
        <v>195</v>
      </c>
      <c r="C57" s="38" t="inlineStr">
        <is>
          <t>C3</t>
        </is>
      </c>
      <c r="D57" s="38" t="n">
        <v>67</v>
      </c>
      <c r="E57" s="38" t="inlineStr">
        <is>
          <t>43</t>
        </is>
      </c>
      <c r="F57" s="38" t="inlineStr"/>
    </row>
    <row r="58">
      <c r="A58" s="50" t="inlineStr">
        <is>
          <t>D</t>
        </is>
      </c>
      <c r="B58" s="41" t="n">
        <v>196</v>
      </c>
      <c r="C58" s="41" t="inlineStr">
        <is>
          <t>C4</t>
        </is>
      </c>
      <c r="D58" s="41" t="n">
        <v>68</v>
      </c>
      <c r="E58" s="41" t="inlineStr">
        <is>
          <t>44</t>
        </is>
      </c>
      <c r="F58" s="41" t="inlineStr"/>
    </row>
    <row r="59">
      <c r="A59" s="51" t="inlineStr">
        <is>
          <t>E</t>
        </is>
      </c>
      <c r="B59" s="38" t="n">
        <v>197</v>
      </c>
      <c r="C59" s="38" t="inlineStr">
        <is>
          <t>C5</t>
        </is>
      </c>
      <c r="D59" s="38" t="n">
        <v>69</v>
      </c>
      <c r="E59" s="38" t="inlineStr">
        <is>
          <t>45</t>
        </is>
      </c>
      <c r="F59" s="38" t="inlineStr"/>
    </row>
    <row r="60">
      <c r="A60" s="50" t="inlineStr">
        <is>
          <t>F</t>
        </is>
      </c>
      <c r="B60" s="41" t="n">
        <v>198</v>
      </c>
      <c r="C60" s="41" t="inlineStr">
        <is>
          <t>C6</t>
        </is>
      </c>
      <c r="D60" s="41" t="n">
        <v>70</v>
      </c>
      <c r="E60" s="41" t="inlineStr">
        <is>
          <t>46</t>
        </is>
      </c>
      <c r="F60" s="41" t="inlineStr"/>
    </row>
    <row r="61">
      <c r="A61" s="51" t="inlineStr">
        <is>
          <t>G</t>
        </is>
      </c>
      <c r="B61" s="38" t="n">
        <v>199</v>
      </c>
      <c r="C61" s="38" t="inlineStr">
        <is>
          <t>C7</t>
        </is>
      </c>
      <c r="D61" s="38" t="n">
        <v>71</v>
      </c>
      <c r="E61" s="38" t="inlineStr">
        <is>
          <t>47</t>
        </is>
      </c>
      <c r="F61" s="38" t="inlineStr"/>
    </row>
    <row r="62">
      <c r="A62" s="50" t="inlineStr">
        <is>
          <t>H</t>
        </is>
      </c>
      <c r="B62" s="41" t="n">
        <v>200</v>
      </c>
      <c r="C62" s="41" t="inlineStr">
        <is>
          <t>C8</t>
        </is>
      </c>
      <c r="D62" s="41" t="n">
        <v>72</v>
      </c>
      <c r="E62" s="41" t="inlineStr">
        <is>
          <t>48</t>
        </is>
      </c>
      <c r="F62" s="41" t="inlineStr"/>
    </row>
    <row r="63">
      <c r="A63" s="51" t="inlineStr">
        <is>
          <t>I</t>
        </is>
      </c>
      <c r="B63" s="38" t="n">
        <v>201</v>
      </c>
      <c r="C63" s="38" t="inlineStr">
        <is>
          <t>C9</t>
        </is>
      </c>
      <c r="D63" s="38" t="n">
        <v>73</v>
      </c>
      <c r="E63" s="38" t="inlineStr">
        <is>
          <t>49</t>
        </is>
      </c>
      <c r="F63" s="38" t="inlineStr"/>
    </row>
    <row r="64">
      <c r="A64" s="50" t="inlineStr">
        <is>
          <t>J</t>
        </is>
      </c>
      <c r="B64" s="41" t="n">
        <v>209</v>
      </c>
      <c r="C64" s="41" t="inlineStr">
        <is>
          <t>D1</t>
        </is>
      </c>
      <c r="D64" s="41" t="n">
        <v>74</v>
      </c>
      <c r="E64" s="41" t="inlineStr">
        <is>
          <t>4A</t>
        </is>
      </c>
      <c r="F64" s="41" t="inlineStr"/>
    </row>
    <row r="65">
      <c r="A65" s="51" t="inlineStr">
        <is>
          <t>K</t>
        </is>
      </c>
      <c r="B65" s="38" t="n">
        <v>210</v>
      </c>
      <c r="C65" s="38" t="inlineStr">
        <is>
          <t>D2</t>
        </is>
      </c>
      <c r="D65" s="38" t="n">
        <v>75</v>
      </c>
      <c r="E65" s="38" t="inlineStr">
        <is>
          <t>4B</t>
        </is>
      </c>
      <c r="F65" s="38" t="inlineStr"/>
    </row>
    <row r="66">
      <c r="A66" s="50" t="inlineStr">
        <is>
          <t>L</t>
        </is>
      </c>
      <c r="B66" s="41" t="n">
        <v>211</v>
      </c>
      <c r="C66" s="41" t="inlineStr">
        <is>
          <t>D3</t>
        </is>
      </c>
      <c r="D66" s="41" t="n">
        <v>76</v>
      </c>
      <c r="E66" s="41" t="inlineStr">
        <is>
          <t>4C</t>
        </is>
      </c>
      <c r="F66" s="41" t="inlineStr"/>
    </row>
    <row r="67">
      <c r="A67" s="51" t="inlineStr">
        <is>
          <t>M</t>
        </is>
      </c>
      <c r="B67" s="38" t="n">
        <v>212</v>
      </c>
      <c r="C67" s="38" t="inlineStr">
        <is>
          <t>D4</t>
        </is>
      </c>
      <c r="D67" s="38" t="n">
        <v>77</v>
      </c>
      <c r="E67" s="38" t="inlineStr">
        <is>
          <t>4D</t>
        </is>
      </c>
      <c r="F67" s="38" t="inlineStr"/>
    </row>
    <row r="68">
      <c r="A68" s="50" t="inlineStr">
        <is>
          <t>N</t>
        </is>
      </c>
      <c r="B68" s="41" t="n">
        <v>213</v>
      </c>
      <c r="C68" s="41" t="inlineStr">
        <is>
          <t>D5</t>
        </is>
      </c>
      <c r="D68" s="41" t="n">
        <v>78</v>
      </c>
      <c r="E68" s="41" t="inlineStr">
        <is>
          <t>4E</t>
        </is>
      </c>
      <c r="F68" s="41" t="inlineStr"/>
    </row>
    <row r="69">
      <c r="A69" s="51" t="inlineStr">
        <is>
          <t>O</t>
        </is>
      </c>
      <c r="B69" s="38" t="n">
        <v>214</v>
      </c>
      <c r="C69" s="38" t="inlineStr">
        <is>
          <t>D6</t>
        </is>
      </c>
      <c r="D69" s="38" t="n">
        <v>79</v>
      </c>
      <c r="E69" s="38" t="inlineStr">
        <is>
          <t>4F</t>
        </is>
      </c>
      <c r="F69" s="38" t="inlineStr"/>
    </row>
    <row r="70">
      <c r="A70" s="50" t="inlineStr">
        <is>
          <t>P</t>
        </is>
      </c>
      <c r="B70" s="41" t="n">
        <v>215</v>
      </c>
      <c r="C70" s="41" t="inlineStr">
        <is>
          <t>D7</t>
        </is>
      </c>
      <c r="D70" s="41" t="n">
        <v>80</v>
      </c>
      <c r="E70" s="41" t="inlineStr">
        <is>
          <t>50</t>
        </is>
      </c>
      <c r="F70" s="41" t="inlineStr"/>
    </row>
    <row r="71">
      <c r="A71" s="51" t="inlineStr">
        <is>
          <t>Q</t>
        </is>
      </c>
      <c r="B71" s="38" t="n">
        <v>216</v>
      </c>
      <c r="C71" s="38" t="inlineStr">
        <is>
          <t>D8</t>
        </is>
      </c>
      <c r="D71" s="38" t="n">
        <v>81</v>
      </c>
      <c r="E71" s="38" t="inlineStr">
        <is>
          <t>51</t>
        </is>
      </c>
      <c r="F71" s="38" t="inlineStr"/>
    </row>
    <row r="72">
      <c r="A72" s="50" t="inlineStr">
        <is>
          <t>R</t>
        </is>
      </c>
      <c r="B72" s="41" t="n">
        <v>217</v>
      </c>
      <c r="C72" s="41" t="inlineStr">
        <is>
          <t>D9</t>
        </is>
      </c>
      <c r="D72" s="41" t="n">
        <v>82</v>
      </c>
      <c r="E72" s="41" t="inlineStr">
        <is>
          <t>52</t>
        </is>
      </c>
      <c r="F72" s="41" t="inlineStr"/>
    </row>
    <row r="73">
      <c r="A73" s="51" t="inlineStr">
        <is>
          <t>S</t>
        </is>
      </c>
      <c r="B73" s="38" t="n">
        <v>226</v>
      </c>
      <c r="C73" s="38" t="inlineStr">
        <is>
          <t>E2</t>
        </is>
      </c>
      <c r="D73" s="38" t="n">
        <v>83</v>
      </c>
      <c r="E73" s="38" t="inlineStr">
        <is>
          <t>53</t>
        </is>
      </c>
      <c r="F73" s="38" t="inlineStr"/>
    </row>
    <row r="74">
      <c r="A74" s="50" t="inlineStr">
        <is>
          <t>T</t>
        </is>
      </c>
      <c r="B74" s="41" t="n">
        <v>227</v>
      </c>
      <c r="C74" s="41" t="inlineStr">
        <is>
          <t>E3</t>
        </is>
      </c>
      <c r="D74" s="41" t="n">
        <v>84</v>
      </c>
      <c r="E74" s="41" t="inlineStr">
        <is>
          <t>54</t>
        </is>
      </c>
      <c r="F74" s="41" t="inlineStr"/>
    </row>
    <row r="75">
      <c r="A75" s="51" t="inlineStr">
        <is>
          <t>U</t>
        </is>
      </c>
      <c r="B75" s="38" t="n">
        <v>228</v>
      </c>
      <c r="C75" s="38" t="inlineStr">
        <is>
          <t>E4</t>
        </is>
      </c>
      <c r="D75" s="38" t="n">
        <v>85</v>
      </c>
      <c r="E75" s="38" t="inlineStr">
        <is>
          <t>55</t>
        </is>
      </c>
      <c r="F75" s="38" t="inlineStr"/>
    </row>
    <row r="76">
      <c r="A76" s="50" t="inlineStr">
        <is>
          <t>V</t>
        </is>
      </c>
      <c r="B76" s="41" t="n">
        <v>229</v>
      </c>
      <c r="C76" s="41" t="inlineStr">
        <is>
          <t>E5</t>
        </is>
      </c>
      <c r="D76" s="41" t="n">
        <v>86</v>
      </c>
      <c r="E76" s="41" t="inlineStr">
        <is>
          <t>56</t>
        </is>
      </c>
      <c r="F76" s="41" t="inlineStr"/>
    </row>
    <row r="77">
      <c r="A77" s="51" t="inlineStr">
        <is>
          <t>W</t>
        </is>
      </c>
      <c r="B77" s="38" t="n">
        <v>230</v>
      </c>
      <c r="C77" s="38" t="inlineStr">
        <is>
          <t>E6</t>
        </is>
      </c>
      <c r="D77" s="38" t="n">
        <v>87</v>
      </c>
      <c r="E77" s="38" t="inlineStr">
        <is>
          <t>57</t>
        </is>
      </c>
      <c r="F77" s="38" t="inlineStr"/>
    </row>
    <row r="78">
      <c r="A78" s="50" t="inlineStr">
        <is>
          <t>X</t>
        </is>
      </c>
      <c r="B78" s="41" t="n">
        <v>231</v>
      </c>
      <c r="C78" s="41" t="inlineStr">
        <is>
          <t>E7</t>
        </is>
      </c>
      <c r="D78" s="41" t="n">
        <v>88</v>
      </c>
      <c r="E78" s="41" t="inlineStr">
        <is>
          <t>58</t>
        </is>
      </c>
      <c r="F78" s="41" t="inlineStr"/>
    </row>
    <row r="79">
      <c r="A79" s="51" t="inlineStr">
        <is>
          <t>Y</t>
        </is>
      </c>
      <c r="B79" s="38" t="n">
        <v>232</v>
      </c>
      <c r="C79" s="38" t="inlineStr">
        <is>
          <t>E8</t>
        </is>
      </c>
      <c r="D79" s="38" t="n">
        <v>89</v>
      </c>
      <c r="E79" s="38" t="inlineStr">
        <is>
          <t>59</t>
        </is>
      </c>
      <c r="F79" s="38" t="inlineStr"/>
    </row>
    <row r="80">
      <c r="A80" s="50" t="inlineStr">
        <is>
          <t>Z</t>
        </is>
      </c>
      <c r="B80" s="41" t="n">
        <v>233</v>
      </c>
      <c r="C80" s="41" t="inlineStr">
        <is>
          <t>E9</t>
        </is>
      </c>
      <c r="D80" s="41" t="n">
        <v>90</v>
      </c>
      <c r="E80" s="41" t="inlineStr">
        <is>
          <t>5A</t>
        </is>
      </c>
      <c r="F80" s="41" t="inlineStr"/>
    </row>
    <row r="81">
      <c r="A81" s="51" t="inlineStr">
        <is>
          <t>0</t>
        </is>
      </c>
      <c r="B81" s="38" t="n">
        <v>240</v>
      </c>
      <c r="C81" s="38" t="inlineStr">
        <is>
          <t>F0</t>
        </is>
      </c>
      <c r="D81" s="38" t="n">
        <v>48</v>
      </c>
      <c r="E81" s="38" t="inlineStr">
        <is>
          <t>30</t>
        </is>
      </c>
      <c r="F81" s="38" t="inlineStr"/>
    </row>
    <row r="82">
      <c r="A82" s="50" t="inlineStr">
        <is>
          <t>1</t>
        </is>
      </c>
      <c r="B82" s="41" t="n">
        <v>241</v>
      </c>
      <c r="C82" s="41" t="inlineStr">
        <is>
          <t>F1</t>
        </is>
      </c>
      <c r="D82" s="41" t="n">
        <v>49</v>
      </c>
      <c r="E82" s="41" t="inlineStr">
        <is>
          <t>31</t>
        </is>
      </c>
      <c r="F82" s="41" t="inlineStr"/>
    </row>
    <row r="83">
      <c r="A83" s="51" t="inlineStr">
        <is>
          <t>2</t>
        </is>
      </c>
      <c r="B83" s="38" t="n">
        <v>242</v>
      </c>
      <c r="C83" s="38" t="inlineStr">
        <is>
          <t>F2</t>
        </is>
      </c>
      <c r="D83" s="38" t="n">
        <v>50</v>
      </c>
      <c r="E83" s="38" t="inlineStr">
        <is>
          <t>32</t>
        </is>
      </c>
      <c r="F83" s="38" t="inlineStr"/>
    </row>
    <row r="84">
      <c r="A84" s="50" t="inlineStr">
        <is>
          <t>3</t>
        </is>
      </c>
      <c r="B84" s="41" t="n">
        <v>243</v>
      </c>
      <c r="C84" s="41" t="inlineStr">
        <is>
          <t>F3</t>
        </is>
      </c>
      <c r="D84" s="41" t="n">
        <v>51</v>
      </c>
      <c r="E84" s="41" t="inlineStr">
        <is>
          <t>33</t>
        </is>
      </c>
      <c r="F84" s="41" t="inlineStr"/>
    </row>
    <row r="85">
      <c r="A85" s="51" t="inlineStr">
        <is>
          <t>4</t>
        </is>
      </c>
      <c r="B85" s="38" t="n">
        <v>244</v>
      </c>
      <c r="C85" s="38" t="inlineStr">
        <is>
          <t>F4</t>
        </is>
      </c>
      <c r="D85" s="38" t="n">
        <v>52</v>
      </c>
      <c r="E85" s="38" t="inlineStr">
        <is>
          <t>34</t>
        </is>
      </c>
      <c r="F85" s="38" t="inlineStr"/>
    </row>
    <row r="86">
      <c r="A86" s="50" t="inlineStr">
        <is>
          <t>5</t>
        </is>
      </c>
      <c r="B86" s="41" t="n">
        <v>245</v>
      </c>
      <c r="C86" s="41" t="inlineStr">
        <is>
          <t>F5</t>
        </is>
      </c>
      <c r="D86" s="41" t="n">
        <v>53</v>
      </c>
      <c r="E86" s="41" t="inlineStr">
        <is>
          <t>35</t>
        </is>
      </c>
      <c r="F86" s="41" t="inlineStr"/>
    </row>
    <row r="87">
      <c r="A87" s="51" t="inlineStr">
        <is>
          <t>6</t>
        </is>
      </c>
      <c r="B87" s="38" t="n">
        <v>246</v>
      </c>
      <c r="C87" s="38" t="inlineStr">
        <is>
          <t>F6</t>
        </is>
      </c>
      <c r="D87" s="38" t="n">
        <v>54</v>
      </c>
      <c r="E87" s="38" t="inlineStr">
        <is>
          <t>36</t>
        </is>
      </c>
      <c r="F87" s="38" t="inlineStr"/>
    </row>
    <row r="88">
      <c r="A88" s="50" t="inlineStr">
        <is>
          <t>7</t>
        </is>
      </c>
      <c r="B88" s="41" t="n">
        <v>247</v>
      </c>
      <c r="C88" s="41" t="inlineStr">
        <is>
          <t>F7</t>
        </is>
      </c>
      <c r="D88" s="41" t="n">
        <v>55</v>
      </c>
      <c r="E88" s="41" t="inlineStr">
        <is>
          <t>37</t>
        </is>
      </c>
      <c r="F88" s="41" t="inlineStr"/>
    </row>
    <row r="89">
      <c r="A89" s="51" t="inlineStr">
        <is>
          <t>8</t>
        </is>
      </c>
      <c r="B89" s="38" t="n">
        <v>248</v>
      </c>
      <c r="C89" s="38" t="inlineStr">
        <is>
          <t>F8</t>
        </is>
      </c>
      <c r="D89" s="38" t="n">
        <v>56</v>
      </c>
      <c r="E89" s="38" t="inlineStr">
        <is>
          <t>38</t>
        </is>
      </c>
      <c r="F89" s="38" t="inlineStr"/>
    </row>
    <row r="90">
      <c r="A90" s="50" t="inlineStr">
        <is>
          <t>9</t>
        </is>
      </c>
      <c r="B90" s="41" t="n">
        <v>249</v>
      </c>
      <c r="C90" s="41" t="inlineStr">
        <is>
          <t>F9</t>
        </is>
      </c>
      <c r="D90" s="41" t="n">
        <v>57</v>
      </c>
      <c r="E90" s="41" t="inlineStr">
        <is>
          <t>39</t>
        </is>
      </c>
      <c r="F90" s="41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38" customWidth="1" min="4" max="4"/>
    <col width="40" customWidth="1" min="5" max="5"/>
    <col width="12" customWidth="1" min="6" max="6"/>
  </cols>
  <sheetData>
    <row r="1" ht="30" customHeight="1">
      <c r="A1" s="27" t="inlineStr">
        <is>
          <t>z/OS &amp; COBOL ABEND Code Reference</t>
        </is>
      </c>
    </row>
    <row r="2">
      <c r="A2" s="36" t="inlineStr">
        <is>
          <t>Common system (Sxxx) and user (Uxxx) abend codes with causes and fixes.</t>
        </is>
      </c>
    </row>
    <row r="3">
      <c r="A3" s="29" t="inlineStr">
        <is>
          <t>ABEND Code</t>
        </is>
      </c>
      <c r="B3" s="29" t="inlineStr">
        <is>
          <t>Type</t>
        </is>
      </c>
      <c r="C3" s="29" t="inlineStr">
        <is>
          <t>Short Description</t>
        </is>
      </c>
      <c r="D3" s="29" t="inlineStr">
        <is>
          <t>Common Cause</t>
        </is>
      </c>
      <c r="E3" s="29" t="inlineStr">
        <is>
          <t>Likely Fix</t>
        </is>
      </c>
      <c r="F3" s="29" t="inlineStr">
        <is>
          <t>Severity</t>
        </is>
      </c>
    </row>
    <row r="4">
      <c r="A4" s="52" t="inlineStr">
        <is>
          <t>S0C1</t>
        </is>
      </c>
      <c r="B4" s="30" t="inlineStr">
        <is>
          <t>System</t>
        </is>
      </c>
      <c r="C4" s="30" t="inlineStr">
        <is>
          <t>Invalid operation / bad branch</t>
        </is>
      </c>
      <c r="D4" s="30" t="inlineStr">
        <is>
          <t>Executing non-executable storage, wrong load module</t>
        </is>
      </c>
      <c r="E4" s="30" t="inlineStr">
        <is>
          <t>Check LOAD/CALL statements, verify linked modules</t>
        </is>
      </c>
      <c r="F4" s="53" t="inlineStr">
        <is>
          <t>Critical</t>
        </is>
      </c>
    </row>
    <row r="5">
      <c r="A5" s="54" t="inlineStr">
        <is>
          <t>S0C4</t>
        </is>
      </c>
      <c r="B5" s="31" t="inlineStr">
        <is>
          <t>System</t>
        </is>
      </c>
      <c r="C5" s="31" t="inlineStr">
        <is>
          <t>Protection exception / invalid address</t>
        </is>
      </c>
      <c r="D5" s="31" t="inlineStr">
        <is>
          <t>Null pointer, uninitialised index, out-of-bounds subscript</t>
        </is>
      </c>
      <c r="E5" s="31" t="inlineStr">
        <is>
          <t>Add INITIALIZE, check subscript ranges, verify pointers</t>
        </is>
      </c>
      <c r="F5" s="53" t="inlineStr">
        <is>
          <t>Critical</t>
        </is>
      </c>
    </row>
    <row r="6">
      <c r="A6" s="52" t="inlineStr">
        <is>
          <t>S0C7</t>
        </is>
      </c>
      <c r="B6" s="30" t="inlineStr">
        <is>
          <t>System</t>
        </is>
      </c>
      <c r="C6" s="30" t="inlineStr">
        <is>
          <t>Data exception – bad packed decimal</t>
        </is>
      </c>
      <c r="D6" s="30" t="inlineStr">
        <is>
          <t>Non-numeric data moved to COMP-3 field</t>
        </is>
      </c>
      <c r="E6" s="30" t="inlineStr">
        <is>
          <t>Validate input; add NUMERIC test before arithmetic</t>
        </is>
      </c>
      <c r="F6" s="53" t="inlineStr">
        <is>
          <t>Critical</t>
        </is>
      </c>
    </row>
    <row r="7">
      <c r="A7" s="54" t="inlineStr">
        <is>
          <t>S0C9</t>
        </is>
      </c>
      <c r="B7" s="31" t="inlineStr">
        <is>
          <t>System</t>
        </is>
      </c>
      <c r="C7" s="31" t="inlineStr">
        <is>
          <t>Fixed-point divide exception</t>
        </is>
      </c>
      <c r="D7" s="31" t="inlineStr">
        <is>
          <t>Divide by zero</t>
        </is>
      </c>
      <c r="E7" s="31" t="inlineStr">
        <is>
          <t>Add IF DIVISOR = 0 guard before DIVIDE</t>
        </is>
      </c>
      <c r="F7" s="53" t="inlineStr">
        <is>
          <t>Critical</t>
        </is>
      </c>
    </row>
    <row r="8">
      <c r="A8" s="52" t="inlineStr">
        <is>
          <t>S0CB</t>
        </is>
      </c>
      <c r="B8" s="30" t="inlineStr">
        <is>
          <t>System</t>
        </is>
      </c>
      <c r="C8" s="30" t="inlineStr">
        <is>
          <t>Decimal divide exception</t>
        </is>
      </c>
      <c r="D8" s="30" t="inlineStr">
        <is>
          <t>COMP-3 divide by zero</t>
        </is>
      </c>
      <c r="E8" s="30" t="inlineStr">
        <is>
          <t>Guard DIVIDE operation with ZERO check</t>
        </is>
      </c>
      <c r="F8" s="53" t="inlineStr">
        <is>
          <t>Critical</t>
        </is>
      </c>
    </row>
    <row r="9">
      <c r="A9" s="54" t="inlineStr">
        <is>
          <t>S0F0</t>
        </is>
      </c>
      <c r="B9" s="31" t="inlineStr">
        <is>
          <t>System</t>
        </is>
      </c>
      <c r="C9" s="31" t="inlineStr">
        <is>
          <t>Decimal overflow</t>
        </is>
      </c>
      <c r="D9" s="31" t="inlineStr">
        <is>
          <t>Result exceeds PIC clause size</t>
        </is>
      </c>
      <c r="E9" s="31" t="inlineStr">
        <is>
          <t>Increase receiving field size or use ON SIZE ERROR</t>
        </is>
      </c>
      <c r="F9" s="55" t="inlineStr">
        <is>
          <t>High</t>
        </is>
      </c>
    </row>
    <row r="10">
      <c r="A10" s="52" t="inlineStr">
        <is>
          <t>S013</t>
        </is>
      </c>
      <c r="B10" s="30" t="inlineStr">
        <is>
          <t>System</t>
        </is>
      </c>
      <c r="C10" s="30" t="inlineStr">
        <is>
          <t>DCB attributes mismatch</t>
        </is>
      </c>
      <c r="D10" s="30" t="inlineStr">
        <is>
          <t>LRECL/BLKSIZE mismatch between JCL and program</t>
        </is>
      </c>
      <c r="E10" s="30" t="inlineStr">
        <is>
          <t>Align DD statement LRECL with FD/SELECT clause</t>
        </is>
      </c>
      <c r="F10" s="55" t="inlineStr">
        <is>
          <t>High</t>
        </is>
      </c>
    </row>
    <row r="11">
      <c r="A11" s="54" t="inlineStr">
        <is>
          <t>S022</t>
        </is>
      </c>
      <c r="B11" s="31" t="inlineStr">
        <is>
          <t>System</t>
        </is>
      </c>
      <c r="C11" s="31" t="inlineStr">
        <is>
          <t>Job cancelled by operator</t>
        </is>
      </c>
      <c r="D11" s="31" t="inlineStr">
        <is>
          <t>Manual cancel or time limit exceeded</t>
        </is>
      </c>
      <c r="E11" s="31" t="inlineStr">
        <is>
          <t>Optimise code or increase TIME= in JCL</t>
        </is>
      </c>
      <c r="F11" s="55" t="inlineStr">
        <is>
          <t>High</t>
        </is>
      </c>
    </row>
    <row r="12">
      <c r="A12" s="52" t="inlineStr">
        <is>
          <t>S047</t>
        </is>
      </c>
      <c r="B12" s="30" t="inlineStr">
        <is>
          <t>System</t>
        </is>
      </c>
      <c r="C12" s="30" t="inlineStr">
        <is>
          <t>I/O error – VSAM</t>
        </is>
      </c>
      <c r="D12" s="30" t="inlineStr">
        <is>
          <t>Corrupt cluster or wrong VSAM open mode</t>
        </is>
      </c>
      <c r="E12" s="30" t="inlineStr">
        <is>
          <t>Check VSAM definition and open mode (I-O/INPUT/OUTPUT)</t>
        </is>
      </c>
      <c r="F12" s="55" t="inlineStr">
        <is>
          <t>High</t>
        </is>
      </c>
    </row>
    <row r="13">
      <c r="A13" s="54" t="inlineStr">
        <is>
          <t>S0CB</t>
        </is>
      </c>
      <c r="B13" s="31" t="inlineStr">
        <is>
          <t>System</t>
        </is>
      </c>
      <c r="C13" s="31" t="inlineStr">
        <is>
          <t>VSAM logical error</t>
        </is>
      </c>
      <c r="D13" s="31" t="inlineStr">
        <is>
          <t>Duplicate key on WRITE or missing record on READ</t>
        </is>
      </c>
      <c r="E13" s="31" t="inlineStr">
        <is>
          <t>Check FILE STATUS field and add error handling</t>
        </is>
      </c>
      <c r="F13" s="55" t="inlineStr">
        <is>
          <t>High</t>
        </is>
      </c>
    </row>
    <row r="14">
      <c r="A14" s="52" t="inlineStr">
        <is>
          <t>S222</t>
        </is>
      </c>
      <c r="B14" s="30" t="inlineStr">
        <is>
          <t>System</t>
        </is>
      </c>
      <c r="C14" s="30" t="inlineStr">
        <is>
          <t>Job cancelled – no dump</t>
        </is>
      </c>
      <c r="D14" s="30" t="inlineStr">
        <is>
          <t>Operator cancel or region size exceeded</t>
        </is>
      </c>
      <c r="E14" s="30" t="inlineStr">
        <is>
          <t>Check REGION= in JCL, add MEMLIMIT if needed</t>
        </is>
      </c>
      <c r="F14" s="56" t="inlineStr">
        <is>
          <t>Medium</t>
        </is>
      </c>
    </row>
    <row r="15">
      <c r="A15" s="54" t="inlineStr">
        <is>
          <t>S322</t>
        </is>
      </c>
      <c r="B15" s="31" t="inlineStr">
        <is>
          <t>System</t>
        </is>
      </c>
      <c r="C15" s="31" t="inlineStr">
        <is>
          <t>CPU time limit exceeded</t>
        </is>
      </c>
      <c r="D15" s="31" t="inlineStr">
        <is>
          <t>Infinite loop or excessive processing</t>
        </is>
      </c>
      <c r="E15" s="31" t="inlineStr">
        <is>
          <t>Review loop logic, add EXIT conditions</t>
        </is>
      </c>
      <c r="F15" s="55" t="inlineStr">
        <is>
          <t>High</t>
        </is>
      </c>
    </row>
    <row r="16">
      <c r="A16" s="52" t="inlineStr">
        <is>
          <t>S40F</t>
        </is>
      </c>
      <c r="B16" s="30" t="inlineStr">
        <is>
          <t>System</t>
        </is>
      </c>
      <c r="C16" s="30" t="inlineStr">
        <is>
          <t>Out of virtual storage</t>
        </is>
      </c>
      <c r="D16" s="30" t="inlineStr">
        <is>
          <t>GETMAIN/WORKING-STORAGE too large</t>
        </is>
      </c>
      <c r="E16" s="30" t="inlineStr">
        <is>
          <t>Reduce WORKING-STORAGE or increase REGION=</t>
        </is>
      </c>
      <c r="F16" s="55" t="inlineStr">
        <is>
          <t>High</t>
        </is>
      </c>
    </row>
    <row r="17">
      <c r="A17" s="54" t="inlineStr">
        <is>
          <t>S80A</t>
        </is>
      </c>
      <c r="B17" s="31" t="inlineStr">
        <is>
          <t>System</t>
        </is>
      </c>
      <c r="C17" s="31" t="inlineStr">
        <is>
          <t>Insufficient virtual storage</t>
        </is>
      </c>
      <c r="D17" s="31" t="inlineStr">
        <is>
          <t>Program or data exceeds region</t>
        </is>
      </c>
      <c r="E17" s="31" t="inlineStr">
        <is>
          <t>Increase REGION= or reduce data sizes</t>
        </is>
      </c>
      <c r="F17" s="55" t="inlineStr">
        <is>
          <t>High</t>
        </is>
      </c>
    </row>
    <row r="18">
      <c r="A18" s="52" t="inlineStr">
        <is>
          <t>S806</t>
        </is>
      </c>
      <c r="B18" s="30" t="inlineStr">
        <is>
          <t>System</t>
        </is>
      </c>
      <c r="C18" s="30" t="inlineStr">
        <is>
          <t>Module not found</t>
        </is>
      </c>
      <c r="D18" s="30" t="inlineStr">
        <is>
          <t>LOAD/CALL to non-existent or uncatalogued module</t>
        </is>
      </c>
      <c r="E18" s="30" t="inlineStr">
        <is>
          <t>Check STEPLIB/JOBLIB DD, verify module is linked</t>
        </is>
      </c>
      <c r="F18" s="53" t="inlineStr">
        <is>
          <t>Critical</t>
        </is>
      </c>
    </row>
    <row r="19">
      <c r="A19" s="54" t="inlineStr">
        <is>
          <t>S837</t>
        </is>
      </c>
      <c r="B19" s="31" t="inlineStr">
        <is>
          <t>System</t>
        </is>
      </c>
      <c r="C19" s="31" t="inlineStr">
        <is>
          <t>DASD full – directory or extent</t>
        </is>
      </c>
      <c r="D19" s="31" t="inlineStr">
        <is>
          <t>Dataset ran out of space</t>
        </is>
      </c>
      <c r="E19" s="31" t="inlineStr">
        <is>
          <t>Increase SPACE= in JCL, archive old data</t>
        </is>
      </c>
      <c r="F19" s="55" t="inlineStr">
        <is>
          <t>High</t>
        </is>
      </c>
    </row>
    <row r="20">
      <c r="A20" s="52" t="inlineStr">
        <is>
          <t>S878</t>
        </is>
      </c>
      <c r="B20" s="30" t="inlineStr">
        <is>
          <t>System</t>
        </is>
      </c>
      <c r="C20" s="30" t="inlineStr">
        <is>
          <t>Out of real storage</t>
        </is>
      </c>
      <c r="D20" s="30" t="inlineStr">
        <is>
          <t>Too many concurrent users or large datasets</t>
        </is>
      </c>
      <c r="E20" s="30" t="inlineStr">
        <is>
          <t>Reduce concurrent batch or increase real storage</t>
        </is>
      </c>
      <c r="F20" s="55" t="inlineStr">
        <is>
          <t>High</t>
        </is>
      </c>
    </row>
    <row r="21">
      <c r="A21" s="54" t="inlineStr">
        <is>
          <t>SB37</t>
        </is>
      </c>
      <c r="B21" s="31" t="inlineStr">
        <is>
          <t>System</t>
        </is>
      </c>
      <c r="C21" s="31" t="inlineStr">
        <is>
          <t>Insufficient DASD space – primary</t>
        </is>
      </c>
      <c r="D21" s="31" t="inlineStr">
        <is>
          <t>Dataset exceeded primary allocation</t>
        </is>
      </c>
      <c r="E21" s="31" t="inlineStr">
        <is>
          <t>Increase SPACE primary or add secondary extents</t>
        </is>
      </c>
      <c r="F21" s="55" t="inlineStr">
        <is>
          <t>High</t>
        </is>
      </c>
    </row>
    <row r="22">
      <c r="A22" s="52" t="inlineStr">
        <is>
          <t>SD37</t>
        </is>
      </c>
      <c r="B22" s="30" t="inlineStr">
        <is>
          <t>System</t>
        </is>
      </c>
      <c r="C22" s="30" t="inlineStr">
        <is>
          <t>Insufficient DASD space – secondary</t>
        </is>
      </c>
      <c r="D22" s="30" t="inlineStr">
        <is>
          <t>All secondary extents exhausted</t>
        </is>
      </c>
      <c r="E22" s="30" t="inlineStr">
        <is>
          <t>Increase secondary or use RLSE, clean up old data</t>
        </is>
      </c>
      <c r="F22" s="55" t="inlineStr">
        <is>
          <t>High</t>
        </is>
      </c>
    </row>
    <row r="23">
      <c r="A23" s="54" t="inlineStr">
        <is>
          <t>SE37</t>
        </is>
      </c>
      <c r="B23" s="31" t="inlineStr">
        <is>
          <t>System</t>
        </is>
      </c>
      <c r="C23" s="31" t="inlineStr">
        <is>
          <t>All extents used</t>
        </is>
      </c>
      <c r="D23" s="31" t="inlineStr">
        <is>
          <t>Dataset at maximum 16 extents</t>
        </is>
      </c>
      <c r="E23" s="31" t="inlineStr">
        <is>
          <t>Reorganise dataset, use SMS or increase primary</t>
        </is>
      </c>
      <c r="F23" s="55" t="inlineStr">
        <is>
          <t>High</t>
        </is>
      </c>
    </row>
    <row r="24">
      <c r="A24" s="52" t="inlineStr">
        <is>
          <t>U1000</t>
        </is>
      </c>
      <c r="B24" s="30" t="inlineStr">
        <is>
          <t>User</t>
        </is>
      </c>
      <c r="C24" s="30" t="inlineStr">
        <is>
          <t>File status error (non-zero)</t>
        </is>
      </c>
      <c r="D24" s="30" t="inlineStr">
        <is>
          <t>Unhandled VSAM/QSAM file status code</t>
        </is>
      </c>
      <c r="E24" s="30" t="inlineStr">
        <is>
          <t>Add FILE STATUS check and error handling paragraph</t>
        </is>
      </c>
      <c r="F24" s="55" t="inlineStr">
        <is>
          <t>High</t>
        </is>
      </c>
    </row>
    <row r="25">
      <c r="A25" s="54" t="inlineStr">
        <is>
          <t>U1001</t>
        </is>
      </c>
      <c r="B25" s="31" t="inlineStr">
        <is>
          <t>User</t>
        </is>
      </c>
      <c r="C25" s="31" t="inlineStr">
        <is>
          <t>Invalid data in input record</t>
        </is>
      </c>
      <c r="D25" s="31" t="inlineStr">
        <is>
          <t>Data validation failure in program</t>
        </is>
      </c>
      <c r="E25" s="31" t="inlineStr">
        <is>
          <t>Add data validation logic and error logging</t>
        </is>
      </c>
      <c r="F25" s="56" t="inlineStr">
        <is>
          <t>Medium</t>
        </is>
      </c>
    </row>
    <row r="26">
      <c r="A26" s="52" t="inlineStr">
        <is>
          <t>U4038</t>
        </is>
      </c>
      <c r="B26" s="30" t="inlineStr">
        <is>
          <t>User</t>
        </is>
      </c>
      <c r="C26" s="30" t="inlineStr">
        <is>
          <t>CICS ABEND – transaction</t>
        </is>
      </c>
      <c r="D26" s="30" t="inlineStr">
        <is>
          <t>CICS resource not available or invalid command</t>
        </is>
      </c>
      <c r="E26" s="30" t="inlineStr">
        <is>
          <t>Check CICS HANDLE ABEND and RESP codes</t>
        </is>
      </c>
      <c r="F26" s="55" t="inlineStr">
        <is>
          <t>High</t>
        </is>
      </c>
    </row>
    <row r="27">
      <c r="A27" s="54" t="inlineStr">
        <is>
          <t>U0016</t>
        </is>
      </c>
      <c r="B27" s="31" t="inlineStr">
        <is>
          <t>User</t>
        </is>
      </c>
      <c r="C27" s="31" t="inlineStr">
        <is>
          <t>Custom ABEND – record not found</t>
        </is>
      </c>
      <c r="D27" s="31" t="inlineStr">
        <is>
          <t>Program called ABEND when record missing</t>
        </is>
      </c>
      <c r="E27" s="31" t="inlineStr">
        <is>
          <t>Check calling logic and add NOT FOUND handling</t>
        </is>
      </c>
      <c r="F27" s="56" t="inlineStr">
        <is>
          <t>Medium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58" customWidth="1" min="3" max="3"/>
    <col width="50" customWidth="1" min="4" max="4"/>
  </cols>
  <sheetData>
    <row r="1" ht="30" customHeight="1">
      <c r="A1" s="27" t="inlineStr">
        <is>
          <t>JCL Snippet Library — z/OS Job Control Language</t>
        </is>
      </c>
    </row>
    <row r="2">
      <c r="A2" s="36" t="inlineStr">
        <is>
          <t>Common JCL patterns. Copy snippet from column C into your JCL editor.</t>
        </is>
      </c>
    </row>
    <row r="3">
      <c r="A3" s="29" t="inlineStr">
        <is>
          <t>#</t>
        </is>
      </c>
      <c r="B3" s="29" t="inlineStr">
        <is>
          <t>Snippet Name</t>
        </is>
      </c>
      <c r="C3" s="29" t="inlineStr">
        <is>
          <t>JCL Code</t>
        </is>
      </c>
      <c r="D3" s="29" t="inlineStr">
        <is>
          <t>Description / Usage Notes</t>
        </is>
      </c>
    </row>
    <row r="4" ht="44" customHeight="1">
      <c r="A4" s="57" t="n">
        <v>1</v>
      </c>
      <c r="B4" s="58" t="inlineStr">
        <is>
          <t>Job Card</t>
        </is>
      </c>
      <c r="C4" s="59" t="inlineStr">
        <is>
          <t>//JOBNAME  JOB (ACCT),'DESCRIPTION',
//         CLASS=A,MSGCLASS=X,
//         NOTIFY=&amp;SYSUID</t>
        </is>
      </c>
      <c r="D4" s="30" t="inlineStr">
        <is>
          <t>Standard job card. Replace JOBNAME, ACCT, CLASS as per your installation.</t>
        </is>
      </c>
    </row>
    <row r="5" ht="44" customHeight="1">
      <c r="A5" s="60" t="n">
        <v>2</v>
      </c>
      <c r="B5" s="61" t="inlineStr">
        <is>
          <t>EXEC COBOL Program</t>
        </is>
      </c>
      <c r="C5" s="59" t="inlineStr">
        <is>
          <t>//STEP01   EXEC PGM=MYPROG
//STEPLIB  DD DSN=MY.LOADLIB,DISP=SHR
//SYSOUT   DD SYSOUT=*</t>
        </is>
      </c>
      <c r="D5" s="31" t="inlineStr">
        <is>
          <t>Execute a compiled COBOL load module. STEPLIB points to your load library.</t>
        </is>
      </c>
    </row>
    <row r="6" ht="44" customHeight="1">
      <c r="A6" s="57" t="n">
        <v>3</v>
      </c>
      <c r="B6" s="58" t="inlineStr">
        <is>
          <t>Sequential File Input</t>
        </is>
      </c>
      <c r="C6" s="59" t="inlineStr">
        <is>
          <t>//INFILE   DD DSN=MY.INPUT.FILE,
//         DISP=SHR,
//         LRECL=80,RECFM=FB</t>
        </is>
      </c>
      <c r="D6" s="30" t="inlineStr">
        <is>
          <t>Input sequential fixed-block file. Match LRECL to FD clause in COBOL.</t>
        </is>
      </c>
    </row>
    <row r="7" ht="58" customHeight="1">
      <c r="A7" s="60" t="n">
        <v>4</v>
      </c>
      <c r="B7" s="61" t="inlineStr">
        <is>
          <t>Sequential File Output (new)</t>
        </is>
      </c>
      <c r="C7" s="59" t="inlineStr">
        <is>
          <t>//OUTFILE  DD DSN=MY.OUTPUT.FILE,
//         DISP=(NEW,CATLG,DELETE),
//         SPACE=(CYL,(10,5),RLSE),
//         LRECL=132,RECFM=FB</t>
        </is>
      </c>
      <c r="D7" s="31" t="inlineStr">
        <is>
          <t>Create new output file. Space in cylinders; secondary=5; RLSE frees unused.</t>
        </is>
      </c>
    </row>
    <row r="8" ht="32" customHeight="1">
      <c r="A8" s="57" t="n">
        <v>5</v>
      </c>
      <c r="B8" s="58" t="inlineStr">
        <is>
          <t>VSAM KSDS Open</t>
        </is>
      </c>
      <c r="C8" s="59" t="inlineStr">
        <is>
          <t>//VSAMFILE DD DSN=MY.KSDS.CLUSTER,
//         DISP=SHR</t>
        </is>
      </c>
      <c r="D8" s="30" t="inlineStr">
        <is>
          <t>Open a VSAM KSDS for read. Use ACB/OPEN macros or COBOL SELECT/ASSIGN.</t>
        </is>
      </c>
    </row>
    <row r="9" ht="86" customHeight="1">
      <c r="A9" s="60" t="n">
        <v>6</v>
      </c>
      <c r="B9" s="61" t="inlineStr">
        <is>
          <t>SORT Step (DFSORT)</t>
        </is>
      </c>
      <c r="C9" s="59" t="inlineStr">
        <is>
          <t>//SORT     EXEC PGM=SORT
//SORTIN   DD DSN=MY.INPUT,DISP=SHR
//SORTOUT  DD DSN=MY.SORTED,DISP=(NEW,CATLG)
//SYSIN    DD *
  SORT FIELDS=(1,10,CH,A,11,5,ZD,D)
/*</t>
        </is>
      </c>
      <c r="D9" s="31" t="inlineStr">
        <is>
          <t>Sort on pos 1-10 alpha ascending, then pos 11-15 zoned-decimal descending.</t>
        </is>
      </c>
    </row>
    <row r="10" ht="58" customHeight="1">
      <c r="A10" s="57" t="n">
        <v>7</v>
      </c>
      <c r="B10" s="58" t="inlineStr">
        <is>
          <t>IEFBR14 (Allocate/Delete)</t>
        </is>
      </c>
      <c r="C10" s="59" t="inlineStr">
        <is>
          <t>//ALLOC    EXEC PGM=IEFBR14
//DD1      DD DSN=MY.FILE,
//         DISP=(NEW,CATLG,DELETE),
//         SPACE=(CYL,(5,1))</t>
        </is>
      </c>
      <c r="D10" s="30" t="inlineStr">
        <is>
          <t>Utility to allocate or delete datasets without running real code.</t>
        </is>
      </c>
    </row>
    <row r="11" ht="128" customHeight="1">
      <c r="A11" s="60" t="n">
        <v>8</v>
      </c>
      <c r="B11" s="61" t="inlineStr">
        <is>
          <t>IDCAMS – Define KSDS</t>
        </is>
      </c>
      <c r="C11" s="59" t="inlineStr">
        <is>
          <t>//DEFVSAM  EXEC PGM=IDCAMS
//SYSPRINT DD SYSOUT=*
//SYSIN    DD *
  DEFINE CLUSTER(NAME(MY.KSDS) -
    INDEXED KEYS(10 0) -
    RECORDSIZE(100 200) -
    CYLINDERS(10 5) -
    SHAREOPTIONS(2 3))
/*</t>
        </is>
      </c>
      <c r="D11" s="31" t="inlineStr">
        <is>
          <t>Define a VSAM KSDS. Adjust KEY offset/length, RECORDSIZE, CYLINDERS.</t>
        </is>
      </c>
    </row>
    <row r="12" ht="100" customHeight="1">
      <c r="A12" s="57" t="n">
        <v>9</v>
      </c>
      <c r="B12" s="58" t="inlineStr">
        <is>
          <t>IDCAMS – Repro (copy VSAM)</t>
        </is>
      </c>
      <c r="C12" s="59" t="inlineStr">
        <is>
          <t>//REPRO    EXEC PGM=IDCAMS
//SYSPRINT DD SYSOUT=*
//INFILE   DD DSN=MY.SOURCE.KSDS,DISP=SHR
//OUTFILE  DD DSN=MY.TARGET.KSDS,DISP=SHR
//SYSIN    DD *
  REPRO INFILE(INFILE) OUTFILE(OUTFILE)
/*</t>
        </is>
      </c>
      <c r="D12" s="30" t="inlineStr">
        <is>
          <t>Copy all records from one VSAM to another using IDCAMS REPRO.</t>
        </is>
      </c>
    </row>
    <row r="13" ht="86" customHeight="1">
      <c r="A13" s="60" t="n">
        <v>10</v>
      </c>
      <c r="B13" s="61" t="inlineStr">
        <is>
          <t>IEBGENER (copy seq file)</t>
        </is>
      </c>
      <c r="C13" s="59" t="inlineStr">
        <is>
          <t>//COPY     EXEC PGM=IEBGENER
//SYSPRINT DD SYSOUT=*
//SYSIN    DD DUMMY
//SYSUT1   DD DSN=MY.INPUT,DISP=SHR
//SYSUT2   DD DSN=MY.OUTPUT,DISP=(NEW,CATLG),
//         LRECL=80,RECFM=FB</t>
        </is>
      </c>
      <c r="D13" s="31" t="inlineStr">
        <is>
          <t>Copy a sequential file. SYSIN=DUMMY means no member selection.</t>
        </is>
      </c>
    </row>
    <row r="14" ht="58" customHeight="1">
      <c r="A14" s="57" t="n">
        <v>11</v>
      </c>
      <c r="B14" s="58" t="inlineStr">
        <is>
          <t>DFSORT INCLUDE / OMIT</t>
        </is>
      </c>
      <c r="C14" s="59" t="inlineStr">
        <is>
          <t>//SYSIN    DD *
  SORT FIELDS=COPY
  INCLUDE COND=(10,2,CH,EQ,C'NY')
/*</t>
        </is>
      </c>
      <c r="D14" s="30" t="inlineStr">
        <is>
          <t>Include only records where bytes 10-11 equal 'NY'. Use OMIT to exclude.</t>
        </is>
      </c>
    </row>
    <row r="15" ht="58" customHeight="1">
      <c r="A15" s="60" t="n">
        <v>12</v>
      </c>
      <c r="B15" s="61" t="inlineStr">
        <is>
          <t>DFSORT SUM (dedup &amp; sum)</t>
        </is>
      </c>
      <c r="C15" s="59" t="inlineStr">
        <is>
          <t>//SYSIN    DD *
  SORT FIELDS=(1,9,ZD,A)
  SUM FIELDS=(10,11,ZD)
/*</t>
        </is>
      </c>
      <c r="D15" s="31" t="inlineStr">
        <is>
          <t>Sort on key and sum numeric field; eliminates duplicates on sort key.</t>
        </is>
      </c>
    </row>
    <row r="16" ht="32" customHeight="1">
      <c r="A16" s="57" t="n">
        <v>13</v>
      </c>
      <c r="B16" s="58" t="inlineStr">
        <is>
          <t>COND Parameter</t>
        </is>
      </c>
      <c r="C16" s="59" t="inlineStr">
        <is>
          <t>//STEP02   EXEC PGM=MYPROG2,
//         COND=(0,NE,STEP01)</t>
        </is>
      </c>
      <c r="D16" s="30" t="inlineStr">
        <is>
          <t>Run STEP02 only if STEP01 RC=0. COND=(rc,op,step) — skip if TRUE.</t>
        </is>
      </c>
    </row>
    <row r="17" ht="72" customHeight="1">
      <c r="A17" s="60" t="n">
        <v>14</v>
      </c>
      <c r="B17" s="61" t="inlineStr">
        <is>
          <t>IF/THEN/ELSE (JCL 2.10+)</t>
        </is>
      </c>
      <c r="C17" s="59" t="inlineStr">
        <is>
          <t>//IF1      IF (STEP01.RC = 0) THEN
//STEP02   EXEC PGM=GOODPATH
//ELSE1    ELSE
//STEP03   EXEC PGM=ERRPATH
//ENDIF1   ENDIF</t>
        </is>
      </c>
      <c r="D17" s="31" t="inlineStr">
        <is>
          <t>Structured JCL conditional. Preferred over COND in modern z/OS.</t>
        </is>
      </c>
    </row>
    <row r="18" ht="32" customHeight="1">
      <c r="A18" s="57" t="n">
        <v>15</v>
      </c>
      <c r="B18" s="58" t="inlineStr">
        <is>
          <t>SYSUDUMP / SYSABEND</t>
        </is>
      </c>
      <c r="C18" s="59" t="inlineStr">
        <is>
          <t>//SYSUDUMP DD SYSOUT=*</t>
        </is>
      </c>
      <c r="D18" s="30" t="inlineStr">
        <is>
          <t>Capture formatted dump on ABEND. Add to every EXEC step for diagnostics.</t>
        </is>
      </c>
    </row>
    <row r="19" ht="72" customHeight="1">
      <c r="A19" s="60" t="n">
        <v>16</v>
      </c>
      <c r="B19" s="61" t="inlineStr">
        <is>
          <t>Instream SYSIN Data</t>
        </is>
      </c>
      <c r="C19" s="59" t="inlineStr">
        <is>
          <t>//STEP01   EXEC PGM=MYPROG
//SYSIN    DD *
INPUT DATA LINE 1
INPUT DATA LINE 2
/*</t>
        </is>
      </c>
      <c r="D19" s="31" t="inlineStr">
        <is>
          <t>Pass in-stream data to a program. /* ends the instream data.</t>
        </is>
      </c>
    </row>
    <row r="20" ht="32" customHeight="1">
      <c r="A20" s="57" t="n">
        <v>17</v>
      </c>
      <c r="B20" s="58" t="inlineStr">
        <is>
          <t>DD DUMMY</t>
        </is>
      </c>
      <c r="C20" s="59" t="inlineStr">
        <is>
          <t>//DDNAME   DD DUMMY</t>
        </is>
      </c>
      <c r="D20" s="30" t="inlineStr">
        <is>
          <t>Simulate a file with no I/O. Useful for optional output files.</t>
        </is>
      </c>
    </row>
    <row r="21" ht="32" customHeight="1">
      <c r="A21" s="60" t="n">
        <v>18</v>
      </c>
      <c r="B21" s="61" t="inlineStr">
        <is>
          <t>Symbolic Parameters</t>
        </is>
      </c>
      <c r="C21" s="59" t="inlineStr">
        <is>
          <t>//STEP01   EXEC PGM=&amp;PROG,
//         PARM='&amp;ENV'</t>
        </is>
      </c>
      <c r="D21" s="31" t="inlineStr">
        <is>
          <t>Use symbolic parameters set in the JOB or PROC for portability.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2" customWidth="1" min="3" max="3"/>
    <col width="38" customWidth="1" min="4" max="4"/>
    <col width="38" customWidth="1" min="5" max="5"/>
  </cols>
  <sheetData>
    <row r="1" ht="30" customHeight="1">
      <c r="A1" s="27" t="inlineStr">
        <is>
          <t>COBOL File Status Code Reference (QSAM &amp; VSAM)</t>
        </is>
      </c>
    </row>
    <row r="2">
      <c r="A2" s="36" t="inlineStr">
        <is>
          <t>Check FILE STATUS field after every READ/WRITE/REWRITE/DELETE/START.</t>
        </is>
      </c>
    </row>
    <row r="3">
      <c r="A3" s="29" t="inlineStr">
        <is>
          <t>File Status</t>
        </is>
      </c>
      <c r="B3" s="29" t="inlineStr">
        <is>
          <t>VSAM / QSAM</t>
        </is>
      </c>
      <c r="C3" s="29" t="inlineStr">
        <is>
          <t>Meaning</t>
        </is>
      </c>
      <c r="D3" s="29" t="inlineStr">
        <is>
          <t>Common Cause</t>
        </is>
      </c>
      <c r="E3" s="29" t="inlineStr">
        <is>
          <t>Recommended Action</t>
        </is>
      </c>
    </row>
    <row r="4">
      <c r="A4" s="62" t="inlineStr">
        <is>
          <t>00</t>
        </is>
      </c>
      <c r="B4" s="41" t="inlineStr">
        <is>
          <t>Both</t>
        </is>
      </c>
      <c r="C4" s="30" t="inlineStr">
        <is>
          <t>Successful completion</t>
        </is>
      </c>
      <c r="D4" s="30" t="inlineStr">
        <is>
          <t>Normal</t>
        </is>
      </c>
      <c r="E4" s="30" t="inlineStr">
        <is>
          <t>Continue processing</t>
        </is>
      </c>
    </row>
    <row r="5">
      <c r="A5" s="63" t="inlineStr">
        <is>
          <t>02</t>
        </is>
      </c>
      <c r="B5" s="64" t="inlineStr">
        <is>
          <t>VSAM</t>
        </is>
      </c>
      <c r="C5" s="39" t="inlineStr">
        <is>
          <t>Duplicate key (alternate index)</t>
        </is>
      </c>
      <c r="D5" s="39" t="inlineStr">
        <is>
          <t>Alternate key not unique</t>
        </is>
      </c>
      <c r="E5" s="39" t="inlineStr">
        <is>
          <t>If expected, continue; else log warning</t>
        </is>
      </c>
    </row>
    <row r="6">
      <c r="A6" s="63" t="inlineStr">
        <is>
          <t>04</t>
        </is>
      </c>
      <c r="B6" s="64" t="inlineStr">
        <is>
          <t>QSAM</t>
        </is>
      </c>
      <c r="C6" s="39" t="inlineStr">
        <is>
          <t>Record shorter than expected</t>
        </is>
      </c>
      <c r="D6" s="39" t="inlineStr">
        <is>
          <t>LRECL mismatch</t>
        </is>
      </c>
      <c r="E6" s="39" t="inlineStr">
        <is>
          <t>Check FD RECORD CONTAINS vs dataset LRECL</t>
        </is>
      </c>
    </row>
    <row r="7">
      <c r="A7" s="65" t="inlineStr">
        <is>
          <t>05</t>
        </is>
      </c>
      <c r="B7" s="38" t="inlineStr">
        <is>
          <t>Both</t>
        </is>
      </c>
      <c r="C7" s="31" t="inlineStr">
        <is>
          <t>File not present (OPEN)</t>
        </is>
      </c>
      <c r="D7" s="31" t="inlineStr">
        <is>
          <t>Dataset does not exist</t>
        </is>
      </c>
      <c r="E7" s="31" t="inlineStr">
        <is>
          <t>Create file or change OPEN mode</t>
        </is>
      </c>
    </row>
    <row r="8">
      <c r="A8" s="66" t="inlineStr">
        <is>
          <t>07</t>
        </is>
      </c>
      <c r="B8" s="41" t="inlineStr">
        <is>
          <t>QSAM</t>
        </is>
      </c>
      <c r="C8" s="30" t="inlineStr">
        <is>
          <t>CLOSE attempted on non-open file</t>
        </is>
      </c>
      <c r="D8" s="30" t="inlineStr">
        <is>
          <t>Logic error</t>
        </is>
      </c>
      <c r="E8" s="30" t="inlineStr">
        <is>
          <t>Check OPEN/CLOSE pairing</t>
        </is>
      </c>
    </row>
    <row r="9">
      <c r="A9" s="62" t="inlineStr">
        <is>
          <t>10</t>
        </is>
      </c>
      <c r="B9" s="41" t="inlineStr">
        <is>
          <t>Both</t>
        </is>
      </c>
      <c r="C9" s="30" t="inlineStr">
        <is>
          <t>End of file (AT END)</t>
        </is>
      </c>
      <c r="D9" s="30" t="inlineStr">
        <is>
          <t>Normal EOF on sequential READ</t>
        </is>
      </c>
      <c r="E9" s="30" t="inlineStr">
        <is>
          <t>Expected; process in AT END clause</t>
        </is>
      </c>
    </row>
    <row r="10">
      <c r="A10" s="66" t="inlineStr">
        <is>
          <t>14</t>
        </is>
      </c>
      <c r="B10" s="41" t="inlineStr">
        <is>
          <t>QSAM</t>
        </is>
      </c>
      <c r="C10" s="30" t="inlineStr">
        <is>
          <t>Too many relative key values</t>
        </is>
      </c>
      <c r="D10" s="30" t="inlineStr">
        <is>
          <t>Relative file boundary exceeded</t>
        </is>
      </c>
      <c r="E10" s="30" t="inlineStr">
        <is>
          <t>Increase file size</t>
        </is>
      </c>
    </row>
    <row r="11">
      <c r="A11" s="65" t="inlineStr">
        <is>
          <t>21</t>
        </is>
      </c>
      <c r="B11" s="38" t="inlineStr">
        <is>
          <t>Both</t>
        </is>
      </c>
      <c r="C11" s="31" t="inlineStr">
        <is>
          <t>Key sequence error on WRITE</t>
        </is>
      </c>
      <c r="D11" s="31" t="inlineStr">
        <is>
          <t>Records written out of sequence</t>
        </is>
      </c>
      <c r="E11" s="31" t="inlineStr">
        <is>
          <t>Sort input before writing KSDS</t>
        </is>
      </c>
    </row>
    <row r="12">
      <c r="A12" s="66" t="inlineStr">
        <is>
          <t>22</t>
        </is>
      </c>
      <c r="B12" s="41" t="inlineStr">
        <is>
          <t>VSAM</t>
        </is>
      </c>
      <c r="C12" s="30" t="inlineStr">
        <is>
          <t>Duplicate primary key</t>
        </is>
      </c>
      <c r="D12" s="30" t="inlineStr">
        <is>
          <t>WRITE with existing key</t>
        </is>
      </c>
      <c r="E12" s="30" t="inlineStr">
        <is>
          <t>Add key uniqueness check before WRITE</t>
        </is>
      </c>
    </row>
    <row r="13">
      <c r="A13" s="65" t="inlineStr">
        <is>
          <t>23</t>
        </is>
      </c>
      <c r="B13" s="38" t="inlineStr">
        <is>
          <t>Both</t>
        </is>
      </c>
      <c r="C13" s="31" t="inlineStr">
        <is>
          <t>Record not found</t>
        </is>
      </c>
      <c r="D13" s="31" t="inlineStr">
        <is>
          <t>READ/DELETE on non-existent key</t>
        </is>
      </c>
      <c r="E13" s="31" t="inlineStr">
        <is>
          <t>Add NOT FOUND handling; check key value</t>
        </is>
      </c>
    </row>
    <row r="14">
      <c r="A14" s="66" t="inlineStr">
        <is>
          <t>24</t>
        </is>
      </c>
      <c r="B14" s="41" t="inlineStr">
        <is>
          <t>VSAM</t>
        </is>
      </c>
      <c r="C14" s="30" t="inlineStr">
        <is>
          <t>Boundary violation (out of space)</t>
        </is>
      </c>
      <c r="D14" s="30" t="inlineStr">
        <is>
          <t>VSAM cluster full</t>
        </is>
      </c>
      <c r="E14" s="30" t="inlineStr">
        <is>
          <t>Reorganise/expand cluster</t>
        </is>
      </c>
    </row>
    <row r="15">
      <c r="A15" s="65" t="inlineStr">
        <is>
          <t>30</t>
        </is>
      </c>
      <c r="B15" s="38" t="inlineStr">
        <is>
          <t>Both</t>
        </is>
      </c>
      <c r="C15" s="31" t="inlineStr">
        <is>
          <t>Permanent I/O error</t>
        </is>
      </c>
      <c r="D15" s="31" t="inlineStr">
        <is>
          <t>Hardware or disk error</t>
        </is>
      </c>
      <c r="E15" s="31" t="inlineStr">
        <is>
          <t>Contact systems programmer; check SYSLOG</t>
        </is>
      </c>
    </row>
    <row r="16">
      <c r="A16" s="66" t="inlineStr">
        <is>
          <t>34</t>
        </is>
      </c>
      <c r="B16" s="41" t="inlineStr">
        <is>
          <t>QSAM</t>
        </is>
      </c>
      <c r="C16" s="30" t="inlineStr">
        <is>
          <t>Boundary violation</t>
        </is>
      </c>
      <c r="D16" s="30" t="inlineStr">
        <is>
          <t>Write beyond end of fixed file</t>
        </is>
      </c>
      <c r="E16" s="30" t="inlineStr">
        <is>
          <t>Check record count and file size</t>
        </is>
      </c>
    </row>
    <row r="17">
      <c r="A17" s="65" t="inlineStr">
        <is>
          <t>35</t>
        </is>
      </c>
      <c r="B17" s="38" t="inlineStr">
        <is>
          <t>Both</t>
        </is>
      </c>
      <c r="C17" s="31" t="inlineStr">
        <is>
          <t>File not found on OPEN INPUT</t>
        </is>
      </c>
      <c r="D17" s="31" t="inlineStr">
        <is>
          <t>Dataset missing</t>
        </is>
      </c>
      <c r="E17" s="31" t="inlineStr">
        <is>
          <t>Verify DSN in JCL DD statement</t>
        </is>
      </c>
    </row>
    <row r="18">
      <c r="A18" s="66" t="inlineStr">
        <is>
          <t>37</t>
        </is>
      </c>
      <c r="B18" s="41" t="inlineStr">
        <is>
          <t>QSAM</t>
        </is>
      </c>
      <c r="C18" s="30" t="inlineStr">
        <is>
          <t>File already exists on OPEN OUT</t>
        </is>
      </c>
      <c r="D18" s="30" t="inlineStr">
        <is>
          <t>Tried to create existing file</t>
        </is>
      </c>
      <c r="E18" s="30" t="inlineStr">
        <is>
          <t>Use DISP=OLD or delete/uncatalog first</t>
        </is>
      </c>
    </row>
    <row r="19">
      <c r="A19" s="65" t="inlineStr">
        <is>
          <t>38</t>
        </is>
      </c>
      <c r="B19" s="38" t="inlineStr">
        <is>
          <t>Both</t>
        </is>
      </c>
      <c r="C19" s="31" t="inlineStr">
        <is>
          <t>File locked / already open</t>
        </is>
      </c>
      <c r="D19" s="31" t="inlineStr">
        <is>
          <t>Another job holds exclusive lock</t>
        </is>
      </c>
      <c r="E19" s="31" t="inlineStr">
        <is>
          <t>Wait or coordinate job scheduling</t>
        </is>
      </c>
    </row>
    <row r="20">
      <c r="A20" s="66" t="inlineStr">
        <is>
          <t>39</t>
        </is>
      </c>
      <c r="B20" s="41" t="inlineStr">
        <is>
          <t>Both</t>
        </is>
      </c>
      <c r="C20" s="30" t="inlineStr">
        <is>
          <t>Attribute conflict on OPEN</t>
        </is>
      </c>
      <c r="D20" s="30" t="inlineStr">
        <is>
          <t>FD attrs ≠ actual file attrs</t>
        </is>
      </c>
      <c r="E20" s="30" t="inlineStr">
        <is>
          <t>Match LRECL/RECFM in FD and JCL</t>
        </is>
      </c>
    </row>
    <row r="21">
      <c r="A21" s="65" t="inlineStr">
        <is>
          <t>41</t>
        </is>
      </c>
      <c r="B21" s="38" t="inlineStr">
        <is>
          <t>Both</t>
        </is>
      </c>
      <c r="C21" s="31" t="inlineStr">
        <is>
          <t>OPEN already open</t>
        </is>
      </c>
      <c r="D21" s="31" t="inlineStr">
        <is>
          <t>Duplicate OPEN statement</t>
        </is>
      </c>
      <c r="E21" s="31" t="inlineStr">
        <is>
          <t>Check logic flow; add status check</t>
        </is>
      </c>
    </row>
    <row r="22">
      <c r="A22" s="66" t="inlineStr">
        <is>
          <t>42</t>
        </is>
      </c>
      <c r="B22" s="41" t="inlineStr">
        <is>
          <t>Both</t>
        </is>
      </c>
      <c r="C22" s="30" t="inlineStr">
        <is>
          <t>CLOSE not open</t>
        </is>
      </c>
      <c r="D22" s="30" t="inlineStr">
        <is>
          <t>CLOSE without prior OPEN</t>
        </is>
      </c>
      <c r="E22" s="30" t="inlineStr">
        <is>
          <t>Check logic flow</t>
        </is>
      </c>
    </row>
    <row r="23">
      <c r="A23" s="65" t="inlineStr">
        <is>
          <t>43</t>
        </is>
      </c>
      <c r="B23" s="38" t="inlineStr">
        <is>
          <t>VSAM</t>
        </is>
      </c>
      <c r="C23" s="31" t="inlineStr">
        <is>
          <t>DELETE without prior READ</t>
        </is>
      </c>
      <c r="D23" s="31" t="inlineStr">
        <is>
          <t>DELETE attempted without READ</t>
        </is>
      </c>
      <c r="E23" s="31" t="inlineStr">
        <is>
          <t>Add READ before DELETE</t>
        </is>
      </c>
    </row>
    <row r="24">
      <c r="A24" s="66" t="inlineStr">
        <is>
          <t>44</t>
        </is>
      </c>
      <c r="B24" s="41" t="inlineStr">
        <is>
          <t>Both</t>
        </is>
      </c>
      <c r="C24" s="30" t="inlineStr">
        <is>
          <t>Record too large / too small</t>
        </is>
      </c>
      <c r="D24" s="30" t="inlineStr">
        <is>
          <t>Record length mismatch</t>
        </is>
      </c>
      <c r="E24" s="30" t="inlineStr">
        <is>
          <t>Align FD RECORD CONTAINS with actual size</t>
        </is>
      </c>
    </row>
    <row r="25">
      <c r="A25" s="65" t="inlineStr">
        <is>
          <t>46</t>
        </is>
      </c>
      <c r="B25" s="38" t="inlineStr">
        <is>
          <t>Both</t>
        </is>
      </c>
      <c r="C25" s="31" t="inlineStr">
        <is>
          <t>Sequential READ without OPEN</t>
        </is>
      </c>
      <c r="D25" s="31" t="inlineStr">
        <is>
          <t>READ before OPEN</t>
        </is>
      </c>
      <c r="E25" s="31" t="inlineStr">
        <is>
          <t>Ensure OPEN precedes first READ</t>
        </is>
      </c>
    </row>
    <row r="26">
      <c r="A26" s="66" t="inlineStr">
        <is>
          <t>47</t>
        </is>
      </c>
      <c r="B26" s="41" t="inlineStr">
        <is>
          <t>Both</t>
        </is>
      </c>
      <c r="C26" s="30" t="inlineStr">
        <is>
          <t>READ on file not open INPUT</t>
        </is>
      </c>
      <c r="D26" s="30" t="inlineStr">
        <is>
          <t>File opened OUTPUT or I-O</t>
        </is>
      </c>
      <c r="E26" s="30" t="inlineStr">
        <is>
          <t>Change OPEN mode to INPUT or I-O</t>
        </is>
      </c>
    </row>
    <row r="27">
      <c r="A27" s="65" t="inlineStr">
        <is>
          <t>48</t>
        </is>
      </c>
      <c r="B27" s="38" t="inlineStr">
        <is>
          <t>Both</t>
        </is>
      </c>
      <c r="C27" s="31" t="inlineStr">
        <is>
          <t>WRITE on file not open OUTPUT</t>
        </is>
      </c>
      <c r="D27" s="31" t="inlineStr">
        <is>
          <t>File opened INPUT</t>
        </is>
      </c>
      <c r="E27" s="31" t="inlineStr">
        <is>
          <t>Change OPEN mode to OUTPUT or I-O</t>
        </is>
      </c>
    </row>
    <row r="28">
      <c r="A28" s="66" t="inlineStr">
        <is>
          <t>49</t>
        </is>
      </c>
      <c r="B28" s="41" t="inlineStr">
        <is>
          <t>VSAM</t>
        </is>
      </c>
      <c r="C28" s="30" t="inlineStr">
        <is>
          <t>REWRITE/DELETE not open I-O</t>
        </is>
      </c>
      <c r="D28" s="30" t="inlineStr">
        <is>
          <t>File opened INPUT</t>
        </is>
      </c>
      <c r="E28" s="30" t="inlineStr">
        <is>
          <t>Change OPEN mode to I-O</t>
        </is>
      </c>
    </row>
    <row r="29">
      <c r="A29" s="65" t="inlineStr">
        <is>
          <t>90</t>
        </is>
      </c>
      <c r="B29" s="38" t="inlineStr">
        <is>
          <t>VSAM</t>
        </is>
      </c>
      <c r="C29" s="31" t="inlineStr">
        <is>
          <t>VSAM logic error</t>
        </is>
      </c>
      <c r="D29" s="31" t="inlineStr">
        <is>
          <t>Internal VSAM error</t>
        </is>
      </c>
      <c r="E29" s="31" t="inlineStr">
        <is>
          <t>Check IDCAMS LISTCAT; reorganise cluster</t>
        </is>
      </c>
    </row>
    <row r="30">
      <c r="A30" s="66" t="inlineStr">
        <is>
          <t>91</t>
        </is>
      </c>
      <c r="B30" s="41" t="inlineStr">
        <is>
          <t>VSAM</t>
        </is>
      </c>
      <c r="C30" s="30" t="inlineStr">
        <is>
          <t>VSAM password failure</t>
        </is>
      </c>
      <c r="D30" s="30" t="inlineStr">
        <is>
          <t>Wrong or missing password</t>
        </is>
      </c>
      <c r="E30" s="30" t="inlineStr">
        <is>
          <t>Check RACF/ACF2 permissions</t>
        </is>
      </c>
    </row>
    <row r="31">
      <c r="A31" s="65" t="inlineStr">
        <is>
          <t>92</t>
        </is>
      </c>
      <c r="B31" s="38" t="inlineStr">
        <is>
          <t>VSAM</t>
        </is>
      </c>
      <c r="C31" s="31" t="inlineStr">
        <is>
          <t>VSAM out of space</t>
        </is>
      </c>
      <c r="D31" s="31" t="inlineStr">
        <is>
          <t>Cluster full</t>
        </is>
      </c>
      <c r="E31" s="31" t="inlineStr">
        <is>
          <t>Reorganise and increase CYLINDERS</t>
        </is>
      </c>
    </row>
    <row r="32">
      <c r="A32" s="66" t="inlineStr">
        <is>
          <t>93</t>
        </is>
      </c>
      <c r="B32" s="41" t="inlineStr">
        <is>
          <t>VSAM</t>
        </is>
      </c>
      <c r="C32" s="30" t="inlineStr">
        <is>
          <t>Resource not available</t>
        </is>
      </c>
      <c r="D32" s="30" t="inlineStr">
        <is>
          <t>File exclusively held</t>
        </is>
      </c>
      <c r="E32" s="30" t="inlineStr">
        <is>
          <t>Wait; check ENQ/DEQ contention</t>
        </is>
      </c>
    </row>
    <row r="33">
      <c r="A33" s="65" t="inlineStr">
        <is>
          <t>94</t>
        </is>
      </c>
      <c r="B33" s="38" t="inlineStr">
        <is>
          <t>VSAM</t>
        </is>
      </c>
      <c r="C33" s="31" t="inlineStr">
        <is>
          <t>Sequential record not found</t>
        </is>
      </c>
      <c r="D33" s="31" t="inlineStr">
        <is>
          <t>Current record deleted externally</t>
        </is>
      </c>
      <c r="E33" s="31" t="inlineStr">
        <is>
          <t>Retry or handle gracefully</t>
        </is>
      </c>
    </row>
    <row r="34">
      <c r="A34" s="66" t="inlineStr">
        <is>
          <t>95</t>
        </is>
      </c>
      <c r="B34" s="41" t="inlineStr">
        <is>
          <t>VSAM</t>
        </is>
      </c>
      <c r="C34" s="30" t="inlineStr">
        <is>
          <t>Invalid or incomplete file info</t>
        </is>
      </c>
      <c r="D34" s="30" t="inlineStr">
        <is>
          <t>ACB/RPL error</t>
        </is>
      </c>
      <c r="E34" s="30" t="inlineStr">
        <is>
          <t>Check VSAM definition with LISTCAT</t>
        </is>
      </c>
    </row>
    <row r="35">
      <c r="A35" s="65" t="inlineStr">
        <is>
          <t>96</t>
        </is>
      </c>
      <c r="B35" s="38" t="inlineStr">
        <is>
          <t>VSAM</t>
        </is>
      </c>
      <c r="C35" s="31" t="inlineStr">
        <is>
          <t>No DD statement</t>
        </is>
      </c>
      <c r="D35" s="31" t="inlineStr">
        <is>
          <t>Missing JCL DD for dataset</t>
        </is>
      </c>
      <c r="E35" s="31" t="inlineStr">
        <is>
          <t>Add DD statement to JCL</t>
        </is>
      </c>
    </row>
    <row r="36">
      <c r="A36" s="66" t="inlineStr">
        <is>
          <t>97</t>
        </is>
      </c>
      <c r="B36" s="41" t="inlineStr">
        <is>
          <t>VSAM</t>
        </is>
      </c>
      <c r="C36" s="30" t="inlineStr">
        <is>
          <t>OPEN successful after implicit close</t>
        </is>
      </c>
      <c r="D36" s="30" t="inlineStr">
        <is>
          <t>Prior implicit close recovery</t>
        </is>
      </c>
      <c r="E36" s="30" t="inlineStr">
        <is>
          <t>Normal in some cases; log and continue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</cols>
  <sheetData>
    <row r="1" ht="30" customHeight="1">
      <c r="A1" s="27" t="inlineStr">
        <is>
          <t>Hexadecimal ↔ Decimal ↔ Binary Converter</t>
        </is>
      </c>
    </row>
    <row r="2">
      <c r="A2" s="36" t="inlineStr">
        <is>
          <t>Enter a decimal value in B5 OR a hex value in B6.  Other conversions are calculated automatically.</t>
        </is>
      </c>
    </row>
    <row r="4">
      <c r="A4" s="32" t="inlineStr">
        <is>
          <t>Interactive Converter  (yellow = input cells)</t>
        </is>
      </c>
    </row>
    <row r="5">
      <c r="A5" s="33" t="inlineStr">
        <is>
          <t>Decimal input</t>
        </is>
      </c>
      <c r="B5" s="67" t="n">
        <v>256</v>
      </c>
    </row>
    <row r="6">
      <c r="A6" s="33" t="inlineStr">
        <is>
          <t>Hex input (e.g. FF)</t>
        </is>
      </c>
      <c r="B6" s="67" t="inlineStr">
        <is>
          <t>100</t>
        </is>
      </c>
    </row>
    <row r="7">
      <c r="A7" s="33" t="inlineStr">
        <is>
          <t>Dec → Hex</t>
        </is>
      </c>
      <c r="B7" s="68">
        <f>DEC2HEX(B5)</f>
        <v/>
      </c>
    </row>
    <row r="8">
      <c r="A8" s="33" t="inlineStr">
        <is>
          <t>Dec → Binary</t>
        </is>
      </c>
      <c r="B8" s="68">
        <f>DEC2BIN(B5)</f>
        <v/>
      </c>
    </row>
    <row r="9">
      <c r="A9" s="33" t="inlineStr">
        <is>
          <t>Dec → Octal</t>
        </is>
      </c>
      <c r="B9" s="68">
        <f>DEC2OCT(B5)</f>
        <v/>
      </c>
    </row>
    <row r="10">
      <c r="A10" s="33" t="inlineStr">
        <is>
          <t>Hex input → Decimal</t>
        </is>
      </c>
      <c r="B10" s="68">
        <f>HEX2DEC(B6)</f>
        <v/>
      </c>
    </row>
    <row r="11">
      <c r="A11" s="33" t="inlineStr">
        <is>
          <t>Byte value (0-255)?</t>
        </is>
      </c>
      <c r="B11" s="68">
        <f>IF(AND(B5&gt;=0,B5&lt;=255),"YES","NO")</f>
        <v/>
      </c>
    </row>
    <row r="12">
      <c r="A12" s="33" t="inlineStr">
        <is>
          <t>Signed byte (-128..127)?</t>
        </is>
      </c>
      <c r="B12" s="68">
        <f>IF(B5&lt;128,B5,B5-256)</f>
        <v/>
      </c>
    </row>
    <row r="14">
      <c r="A14" s="48" t="inlineStr">
        <is>
          <t>Quick Hex Reference Table (0–255)</t>
        </is>
      </c>
    </row>
    <row r="15">
      <c r="A15" s="69" t="inlineStr">
        <is>
          <t>Decimal</t>
        </is>
      </c>
      <c r="B15" s="69" t="inlineStr">
        <is>
          <t>Hex</t>
        </is>
      </c>
      <c r="C15" s="69" t="inlineStr">
        <is>
          <t>Binary</t>
        </is>
      </c>
      <c r="D15" s="69" t="inlineStr">
        <is>
          <t>Octal</t>
        </is>
      </c>
      <c r="E15" s="69" t="inlineStr">
        <is>
          <t>ASCII</t>
        </is>
      </c>
      <c r="F15" s="69" t="inlineStr">
        <is>
          <t>EBCDIC note</t>
        </is>
      </c>
    </row>
    <row r="16">
      <c r="A16" s="70" t="n">
        <v>0</v>
      </c>
      <c r="B16" s="70" t="inlineStr">
        <is>
          <t>00</t>
        </is>
      </c>
      <c r="C16" s="70" t="inlineStr">
        <is>
          <t>00000000</t>
        </is>
      </c>
      <c r="D16" s="70" t="inlineStr">
        <is>
          <t>000</t>
        </is>
      </c>
      <c r="E16" s="70" t="inlineStr">
        <is>
          <t>NUL</t>
        </is>
      </c>
      <c r="F16" s="70" t="inlineStr"/>
    </row>
    <row r="17">
      <c r="A17" s="71" t="n">
        <v>1</v>
      </c>
      <c r="B17" s="71" t="inlineStr">
        <is>
          <t>01</t>
        </is>
      </c>
      <c r="C17" s="71" t="inlineStr">
        <is>
          <t>00000001</t>
        </is>
      </c>
      <c r="D17" s="71" t="inlineStr">
        <is>
          <t>001</t>
        </is>
      </c>
      <c r="E17" s="71" t="inlineStr">
        <is>
          <t>\x01</t>
        </is>
      </c>
      <c r="F17" s="71" t="inlineStr"/>
    </row>
    <row r="18">
      <c r="A18" s="70" t="n">
        <v>2</v>
      </c>
      <c r="B18" s="70" t="inlineStr">
        <is>
          <t>02</t>
        </is>
      </c>
      <c r="C18" s="70" t="inlineStr">
        <is>
          <t>00000010</t>
        </is>
      </c>
      <c r="D18" s="70" t="inlineStr">
        <is>
          <t>002</t>
        </is>
      </c>
      <c r="E18" s="70" t="inlineStr">
        <is>
          <t>\x02</t>
        </is>
      </c>
      <c r="F18" s="70" t="inlineStr"/>
    </row>
    <row r="19">
      <c r="A19" s="71" t="n">
        <v>3</v>
      </c>
      <c r="B19" s="71" t="inlineStr">
        <is>
          <t>03</t>
        </is>
      </c>
      <c r="C19" s="71" t="inlineStr">
        <is>
          <t>00000011</t>
        </is>
      </c>
      <c r="D19" s="71" t="inlineStr">
        <is>
          <t>003</t>
        </is>
      </c>
      <c r="E19" s="71" t="inlineStr">
        <is>
          <t>\x03</t>
        </is>
      </c>
      <c r="F19" s="71" t="inlineStr"/>
    </row>
    <row r="20">
      <c r="A20" s="70" t="n">
        <v>4</v>
      </c>
      <c r="B20" s="70" t="inlineStr">
        <is>
          <t>04</t>
        </is>
      </c>
      <c r="C20" s="70" t="inlineStr">
        <is>
          <t>00000100</t>
        </is>
      </c>
      <c r="D20" s="70" t="inlineStr">
        <is>
          <t>004</t>
        </is>
      </c>
      <c r="E20" s="70" t="inlineStr">
        <is>
          <t>\x04</t>
        </is>
      </c>
      <c r="F20" s="70" t="inlineStr"/>
    </row>
    <row r="21">
      <c r="A21" s="71" t="n">
        <v>5</v>
      </c>
      <c r="B21" s="71" t="inlineStr">
        <is>
          <t>05</t>
        </is>
      </c>
      <c r="C21" s="71" t="inlineStr">
        <is>
          <t>00000101</t>
        </is>
      </c>
      <c r="D21" s="71" t="inlineStr">
        <is>
          <t>005</t>
        </is>
      </c>
      <c r="E21" s="71" t="inlineStr">
        <is>
          <t>\x05</t>
        </is>
      </c>
      <c r="F21" s="71" t="inlineStr"/>
    </row>
    <row r="22">
      <c r="A22" s="70" t="n">
        <v>6</v>
      </c>
      <c r="B22" s="70" t="inlineStr">
        <is>
          <t>06</t>
        </is>
      </c>
      <c r="C22" s="70" t="inlineStr">
        <is>
          <t>00000110</t>
        </is>
      </c>
      <c r="D22" s="70" t="inlineStr">
        <is>
          <t>006</t>
        </is>
      </c>
      <c r="E22" s="70" t="inlineStr">
        <is>
          <t>\x06</t>
        </is>
      </c>
      <c r="F22" s="70" t="inlineStr"/>
    </row>
    <row r="23">
      <c r="A23" s="71" t="n">
        <v>7</v>
      </c>
      <c r="B23" s="71" t="inlineStr">
        <is>
          <t>07</t>
        </is>
      </c>
      <c r="C23" s="71" t="inlineStr">
        <is>
          <t>00000111</t>
        </is>
      </c>
      <c r="D23" s="71" t="inlineStr">
        <is>
          <t>007</t>
        </is>
      </c>
      <c r="E23" s="71" t="inlineStr">
        <is>
          <t>BEL</t>
        </is>
      </c>
      <c r="F23" s="71" t="inlineStr"/>
    </row>
    <row r="24">
      <c r="A24" s="70" t="n">
        <v>8</v>
      </c>
      <c r="B24" s="70" t="inlineStr">
        <is>
          <t>08</t>
        </is>
      </c>
      <c r="C24" s="70" t="inlineStr">
        <is>
          <t>00001000</t>
        </is>
      </c>
      <c r="D24" s="70" t="inlineStr">
        <is>
          <t>010</t>
        </is>
      </c>
      <c r="E24" s="70" t="inlineStr">
        <is>
          <t>BS</t>
        </is>
      </c>
      <c r="F24" s="70" t="inlineStr"/>
    </row>
    <row r="25">
      <c r="A25" s="71" t="n">
        <v>9</v>
      </c>
      <c r="B25" s="71" t="inlineStr">
        <is>
          <t>09</t>
        </is>
      </c>
      <c r="C25" s="71" t="inlineStr">
        <is>
          <t>00001001</t>
        </is>
      </c>
      <c r="D25" s="71" t="inlineStr">
        <is>
          <t>011</t>
        </is>
      </c>
      <c r="E25" s="71" t="inlineStr">
        <is>
          <t>TAB</t>
        </is>
      </c>
      <c r="F25" s="71" t="inlineStr"/>
    </row>
    <row r="26">
      <c r="A26" s="70" t="n">
        <v>10</v>
      </c>
      <c r="B26" s="70" t="inlineStr">
        <is>
          <t>0A</t>
        </is>
      </c>
      <c r="C26" s="70" t="inlineStr">
        <is>
          <t>00001010</t>
        </is>
      </c>
      <c r="D26" s="70" t="inlineStr">
        <is>
          <t>012</t>
        </is>
      </c>
      <c r="E26" s="70" t="inlineStr">
        <is>
          <t>LF</t>
        </is>
      </c>
      <c r="F26" s="70" t="inlineStr"/>
    </row>
    <row r="27">
      <c r="A27" s="71" t="n">
        <v>11</v>
      </c>
      <c r="B27" s="71" t="inlineStr">
        <is>
          <t>0B</t>
        </is>
      </c>
      <c r="C27" s="71" t="inlineStr">
        <is>
          <t>00001011</t>
        </is>
      </c>
      <c r="D27" s="71" t="inlineStr">
        <is>
          <t>013</t>
        </is>
      </c>
      <c r="E27" s="71" t="inlineStr">
        <is>
          <t>\x0B</t>
        </is>
      </c>
      <c r="F27" s="71" t="inlineStr"/>
    </row>
    <row r="28">
      <c r="A28" s="70" t="n">
        <v>12</v>
      </c>
      <c r="B28" s="70" t="inlineStr">
        <is>
          <t>0C</t>
        </is>
      </c>
      <c r="C28" s="70" t="inlineStr">
        <is>
          <t>00001100</t>
        </is>
      </c>
      <c r="D28" s="70" t="inlineStr">
        <is>
          <t>014</t>
        </is>
      </c>
      <c r="E28" s="70" t="inlineStr">
        <is>
          <t>\x0C</t>
        </is>
      </c>
      <c r="F28" s="70" t="inlineStr"/>
    </row>
    <row r="29">
      <c r="A29" s="71" t="n">
        <v>13</v>
      </c>
      <c r="B29" s="71" t="inlineStr">
        <is>
          <t>0D</t>
        </is>
      </c>
      <c r="C29" s="71" t="inlineStr">
        <is>
          <t>00001101</t>
        </is>
      </c>
      <c r="D29" s="71" t="inlineStr">
        <is>
          <t>015</t>
        </is>
      </c>
      <c r="E29" s="71" t="inlineStr">
        <is>
          <t>CR</t>
        </is>
      </c>
      <c r="F29" s="71" t="inlineStr"/>
    </row>
    <row r="30">
      <c r="A30" s="70" t="n">
        <v>14</v>
      </c>
      <c r="B30" s="70" t="inlineStr">
        <is>
          <t>0E</t>
        </is>
      </c>
      <c r="C30" s="70" t="inlineStr">
        <is>
          <t>00001110</t>
        </is>
      </c>
      <c r="D30" s="70" t="inlineStr">
        <is>
          <t>016</t>
        </is>
      </c>
      <c r="E30" s="70" t="inlineStr">
        <is>
          <t>\x0E</t>
        </is>
      </c>
      <c r="F30" s="70" t="inlineStr"/>
    </row>
    <row r="31">
      <c r="A31" s="71" t="n">
        <v>15</v>
      </c>
      <c r="B31" s="71" t="inlineStr">
        <is>
          <t>0F</t>
        </is>
      </c>
      <c r="C31" s="71" t="inlineStr">
        <is>
          <t>00001111</t>
        </is>
      </c>
      <c r="D31" s="71" t="inlineStr">
        <is>
          <t>017</t>
        </is>
      </c>
      <c r="E31" s="71" t="inlineStr">
        <is>
          <t>\x0F</t>
        </is>
      </c>
      <c r="F31" s="71" t="inlineStr"/>
    </row>
    <row r="32">
      <c r="A32" s="70" t="n">
        <v>16</v>
      </c>
      <c r="B32" s="70" t="inlineStr">
        <is>
          <t>10</t>
        </is>
      </c>
      <c r="C32" s="70" t="inlineStr">
        <is>
          <t>00010000</t>
        </is>
      </c>
      <c r="D32" s="70" t="inlineStr">
        <is>
          <t>020</t>
        </is>
      </c>
      <c r="E32" s="70" t="inlineStr">
        <is>
          <t>\x10</t>
        </is>
      </c>
      <c r="F32" s="70" t="inlineStr"/>
    </row>
    <row r="33">
      <c r="A33" s="71" t="n">
        <v>17</v>
      </c>
      <c r="B33" s="71" t="inlineStr">
        <is>
          <t>11</t>
        </is>
      </c>
      <c r="C33" s="71" t="inlineStr">
        <is>
          <t>00010001</t>
        </is>
      </c>
      <c r="D33" s="71" t="inlineStr">
        <is>
          <t>021</t>
        </is>
      </c>
      <c r="E33" s="71" t="inlineStr">
        <is>
          <t>\x11</t>
        </is>
      </c>
      <c r="F33" s="71" t="inlineStr"/>
    </row>
    <row r="34">
      <c r="A34" s="70" t="n">
        <v>18</v>
      </c>
      <c r="B34" s="70" t="inlineStr">
        <is>
          <t>12</t>
        </is>
      </c>
      <c r="C34" s="70" t="inlineStr">
        <is>
          <t>00010010</t>
        </is>
      </c>
      <c r="D34" s="70" t="inlineStr">
        <is>
          <t>022</t>
        </is>
      </c>
      <c r="E34" s="70" t="inlineStr">
        <is>
          <t>\x12</t>
        </is>
      </c>
      <c r="F34" s="70" t="inlineStr"/>
    </row>
    <row r="35">
      <c r="A35" s="71" t="n">
        <v>19</v>
      </c>
      <c r="B35" s="71" t="inlineStr">
        <is>
          <t>13</t>
        </is>
      </c>
      <c r="C35" s="71" t="inlineStr">
        <is>
          <t>00010011</t>
        </is>
      </c>
      <c r="D35" s="71" t="inlineStr">
        <is>
          <t>023</t>
        </is>
      </c>
      <c r="E35" s="71" t="inlineStr">
        <is>
          <t>\x13</t>
        </is>
      </c>
      <c r="F35" s="71" t="inlineStr"/>
    </row>
    <row r="36">
      <c r="A36" s="70" t="n">
        <v>20</v>
      </c>
      <c r="B36" s="70" t="inlineStr">
        <is>
          <t>14</t>
        </is>
      </c>
      <c r="C36" s="70" t="inlineStr">
        <is>
          <t>00010100</t>
        </is>
      </c>
      <c r="D36" s="70" t="inlineStr">
        <is>
          <t>024</t>
        </is>
      </c>
      <c r="E36" s="70" t="inlineStr">
        <is>
          <t>\x14</t>
        </is>
      </c>
      <c r="F36" s="70" t="inlineStr"/>
    </row>
    <row r="37">
      <c r="A37" s="71" t="n">
        <v>21</v>
      </c>
      <c r="B37" s="71" t="inlineStr">
        <is>
          <t>15</t>
        </is>
      </c>
      <c r="C37" s="71" t="inlineStr">
        <is>
          <t>00010101</t>
        </is>
      </c>
      <c r="D37" s="71" t="inlineStr">
        <is>
          <t>025</t>
        </is>
      </c>
      <c r="E37" s="71" t="inlineStr">
        <is>
          <t>\x15</t>
        </is>
      </c>
      <c r="F37" s="71" t="inlineStr"/>
    </row>
    <row r="38">
      <c r="A38" s="70" t="n">
        <v>22</v>
      </c>
      <c r="B38" s="70" t="inlineStr">
        <is>
          <t>16</t>
        </is>
      </c>
      <c r="C38" s="70" t="inlineStr">
        <is>
          <t>00010110</t>
        </is>
      </c>
      <c r="D38" s="70" t="inlineStr">
        <is>
          <t>026</t>
        </is>
      </c>
      <c r="E38" s="70" t="inlineStr">
        <is>
          <t>\x16</t>
        </is>
      </c>
      <c r="F38" s="70" t="inlineStr"/>
    </row>
    <row r="39">
      <c r="A39" s="71" t="n">
        <v>23</v>
      </c>
      <c r="B39" s="71" t="inlineStr">
        <is>
          <t>17</t>
        </is>
      </c>
      <c r="C39" s="71" t="inlineStr">
        <is>
          <t>00010111</t>
        </is>
      </c>
      <c r="D39" s="71" t="inlineStr">
        <is>
          <t>027</t>
        </is>
      </c>
      <c r="E39" s="71" t="inlineStr">
        <is>
          <t>\x17</t>
        </is>
      </c>
      <c r="F39" s="71" t="inlineStr"/>
    </row>
    <row r="40">
      <c r="A40" s="70" t="n">
        <v>24</v>
      </c>
      <c r="B40" s="70" t="inlineStr">
        <is>
          <t>18</t>
        </is>
      </c>
      <c r="C40" s="70" t="inlineStr">
        <is>
          <t>00011000</t>
        </is>
      </c>
      <c r="D40" s="70" t="inlineStr">
        <is>
          <t>030</t>
        </is>
      </c>
      <c r="E40" s="70" t="inlineStr">
        <is>
          <t>\x18</t>
        </is>
      </c>
      <c r="F40" s="70" t="inlineStr"/>
    </row>
    <row r="41">
      <c r="A41" s="71" t="n">
        <v>25</v>
      </c>
      <c r="B41" s="71" t="inlineStr">
        <is>
          <t>19</t>
        </is>
      </c>
      <c r="C41" s="71" t="inlineStr">
        <is>
          <t>00011001</t>
        </is>
      </c>
      <c r="D41" s="71" t="inlineStr">
        <is>
          <t>031</t>
        </is>
      </c>
      <c r="E41" s="71" t="inlineStr">
        <is>
          <t>\x19</t>
        </is>
      </c>
      <c r="F41" s="71" t="inlineStr"/>
    </row>
    <row r="42">
      <c r="A42" s="70" t="n">
        <v>26</v>
      </c>
      <c r="B42" s="70" t="inlineStr">
        <is>
          <t>1A</t>
        </is>
      </c>
      <c r="C42" s="70" t="inlineStr">
        <is>
          <t>00011010</t>
        </is>
      </c>
      <c r="D42" s="70" t="inlineStr">
        <is>
          <t>032</t>
        </is>
      </c>
      <c r="E42" s="70" t="inlineStr">
        <is>
          <t>\x1A</t>
        </is>
      </c>
      <c r="F42" s="70" t="inlineStr"/>
    </row>
    <row r="43">
      <c r="A43" s="71" t="n">
        <v>27</v>
      </c>
      <c r="B43" s="71" t="inlineStr">
        <is>
          <t>1B</t>
        </is>
      </c>
      <c r="C43" s="71" t="inlineStr">
        <is>
          <t>00011011</t>
        </is>
      </c>
      <c r="D43" s="71" t="inlineStr">
        <is>
          <t>033</t>
        </is>
      </c>
      <c r="E43" s="71" t="inlineStr">
        <is>
          <t>ESC</t>
        </is>
      </c>
      <c r="F43" s="71" t="inlineStr"/>
    </row>
    <row r="44">
      <c r="A44" s="70" t="n">
        <v>28</v>
      </c>
      <c r="B44" s="70" t="inlineStr">
        <is>
          <t>1C</t>
        </is>
      </c>
      <c r="C44" s="70" t="inlineStr">
        <is>
          <t>00011100</t>
        </is>
      </c>
      <c r="D44" s="70" t="inlineStr">
        <is>
          <t>034</t>
        </is>
      </c>
      <c r="E44" s="70" t="inlineStr">
        <is>
          <t>\x1C</t>
        </is>
      </c>
      <c r="F44" s="70" t="inlineStr"/>
    </row>
    <row r="45">
      <c r="A45" s="71" t="n">
        <v>29</v>
      </c>
      <c r="B45" s="71" t="inlineStr">
        <is>
          <t>1D</t>
        </is>
      </c>
      <c r="C45" s="71" t="inlineStr">
        <is>
          <t>00011101</t>
        </is>
      </c>
      <c r="D45" s="71" t="inlineStr">
        <is>
          <t>035</t>
        </is>
      </c>
      <c r="E45" s="71" t="inlineStr">
        <is>
          <t>\x1D</t>
        </is>
      </c>
      <c r="F45" s="71" t="inlineStr"/>
    </row>
    <row r="46">
      <c r="A46" s="70" t="n">
        <v>30</v>
      </c>
      <c r="B46" s="70" t="inlineStr">
        <is>
          <t>1E</t>
        </is>
      </c>
      <c r="C46" s="70" t="inlineStr">
        <is>
          <t>00011110</t>
        </is>
      </c>
      <c r="D46" s="70" t="inlineStr">
        <is>
          <t>036</t>
        </is>
      </c>
      <c r="E46" s="70" t="inlineStr">
        <is>
          <t>\x1E</t>
        </is>
      </c>
      <c r="F46" s="70" t="inlineStr"/>
    </row>
    <row r="47">
      <c r="A47" s="71" t="n">
        <v>31</v>
      </c>
      <c r="B47" s="71" t="inlineStr">
        <is>
          <t>1F</t>
        </is>
      </c>
      <c r="C47" s="71" t="inlineStr">
        <is>
          <t>00011111</t>
        </is>
      </c>
      <c r="D47" s="71" t="inlineStr">
        <is>
          <t>037</t>
        </is>
      </c>
      <c r="E47" s="71" t="inlineStr">
        <is>
          <t>\x1F</t>
        </is>
      </c>
      <c r="F47" s="71" t="inlineStr"/>
    </row>
    <row r="48">
      <c r="A48" s="70" t="n">
        <v>32</v>
      </c>
      <c r="B48" s="70" t="inlineStr">
        <is>
          <t>20</t>
        </is>
      </c>
      <c r="C48" s="70" t="inlineStr">
        <is>
          <t>00100000</t>
        </is>
      </c>
      <c r="D48" s="70" t="inlineStr">
        <is>
          <t>040</t>
        </is>
      </c>
      <c r="E48" s="70" t="inlineStr">
        <is>
          <t>SPACE</t>
        </is>
      </c>
      <c r="F48" s="70" t="inlineStr"/>
    </row>
    <row r="49">
      <c r="A49" s="71" t="n">
        <v>48</v>
      </c>
      <c r="B49" s="71" t="inlineStr">
        <is>
          <t>30</t>
        </is>
      </c>
      <c r="C49" s="71" t="inlineStr">
        <is>
          <t>00110000</t>
        </is>
      </c>
      <c r="D49" s="71" t="inlineStr">
        <is>
          <t>060</t>
        </is>
      </c>
      <c r="E49" s="71" t="inlineStr">
        <is>
          <t>0</t>
        </is>
      </c>
      <c r="F49" s="71" t="inlineStr"/>
    </row>
    <row r="50">
      <c r="A50" s="70" t="n">
        <v>49</v>
      </c>
      <c r="B50" s="70" t="inlineStr">
        <is>
          <t>31</t>
        </is>
      </c>
      <c r="C50" s="70" t="inlineStr">
        <is>
          <t>00110001</t>
        </is>
      </c>
      <c r="D50" s="70" t="inlineStr">
        <is>
          <t>061</t>
        </is>
      </c>
      <c r="E50" s="70" t="inlineStr">
        <is>
          <t>1</t>
        </is>
      </c>
      <c r="F50" s="70" t="inlineStr"/>
    </row>
    <row r="51">
      <c r="A51" s="71" t="n">
        <v>50</v>
      </c>
      <c r="B51" s="71" t="inlineStr">
        <is>
          <t>32</t>
        </is>
      </c>
      <c r="C51" s="71" t="inlineStr">
        <is>
          <t>00110010</t>
        </is>
      </c>
      <c r="D51" s="71" t="inlineStr">
        <is>
          <t>062</t>
        </is>
      </c>
      <c r="E51" s="71" t="inlineStr">
        <is>
          <t>2</t>
        </is>
      </c>
      <c r="F51" s="71" t="inlineStr"/>
    </row>
    <row r="52">
      <c r="A52" s="70" t="n">
        <v>51</v>
      </c>
      <c r="B52" s="70" t="inlineStr">
        <is>
          <t>33</t>
        </is>
      </c>
      <c r="C52" s="70" t="inlineStr">
        <is>
          <t>00110011</t>
        </is>
      </c>
      <c r="D52" s="70" t="inlineStr">
        <is>
          <t>063</t>
        </is>
      </c>
      <c r="E52" s="70" t="inlineStr">
        <is>
          <t>3</t>
        </is>
      </c>
      <c r="F52" s="70" t="inlineStr"/>
    </row>
    <row r="53">
      <c r="A53" s="71" t="n">
        <v>52</v>
      </c>
      <c r="B53" s="71" t="inlineStr">
        <is>
          <t>34</t>
        </is>
      </c>
      <c r="C53" s="71" t="inlineStr">
        <is>
          <t>00110100</t>
        </is>
      </c>
      <c r="D53" s="71" t="inlineStr">
        <is>
          <t>064</t>
        </is>
      </c>
      <c r="E53" s="71" t="inlineStr">
        <is>
          <t>4</t>
        </is>
      </c>
      <c r="F53" s="71" t="inlineStr"/>
    </row>
    <row r="54">
      <c r="A54" s="70" t="n">
        <v>53</v>
      </c>
      <c r="B54" s="70" t="inlineStr">
        <is>
          <t>35</t>
        </is>
      </c>
      <c r="C54" s="70" t="inlineStr">
        <is>
          <t>00110101</t>
        </is>
      </c>
      <c r="D54" s="70" t="inlineStr">
        <is>
          <t>065</t>
        </is>
      </c>
      <c r="E54" s="70" t="inlineStr">
        <is>
          <t>5</t>
        </is>
      </c>
      <c r="F54" s="70" t="inlineStr"/>
    </row>
    <row r="55">
      <c r="A55" s="71" t="n">
        <v>54</v>
      </c>
      <c r="B55" s="71" t="inlineStr">
        <is>
          <t>36</t>
        </is>
      </c>
      <c r="C55" s="71" t="inlineStr">
        <is>
          <t>00110110</t>
        </is>
      </c>
      <c r="D55" s="71" t="inlineStr">
        <is>
          <t>066</t>
        </is>
      </c>
      <c r="E55" s="71" t="inlineStr">
        <is>
          <t>6</t>
        </is>
      </c>
      <c r="F55" s="71" t="inlineStr"/>
    </row>
    <row r="56">
      <c r="A56" s="70" t="n">
        <v>55</v>
      </c>
      <c r="B56" s="70" t="inlineStr">
        <is>
          <t>37</t>
        </is>
      </c>
      <c r="C56" s="70" t="inlineStr">
        <is>
          <t>00110111</t>
        </is>
      </c>
      <c r="D56" s="70" t="inlineStr">
        <is>
          <t>067</t>
        </is>
      </c>
      <c r="E56" s="70" t="inlineStr">
        <is>
          <t>7</t>
        </is>
      </c>
      <c r="F56" s="70" t="inlineStr"/>
    </row>
    <row r="57">
      <c r="A57" s="71" t="n">
        <v>56</v>
      </c>
      <c r="B57" s="71" t="inlineStr">
        <is>
          <t>38</t>
        </is>
      </c>
      <c r="C57" s="71" t="inlineStr">
        <is>
          <t>00111000</t>
        </is>
      </c>
      <c r="D57" s="71" t="inlineStr">
        <is>
          <t>070</t>
        </is>
      </c>
      <c r="E57" s="71" t="inlineStr">
        <is>
          <t>8</t>
        </is>
      </c>
      <c r="F57" s="71" t="inlineStr"/>
    </row>
    <row r="58">
      <c r="A58" s="70" t="n">
        <v>57</v>
      </c>
      <c r="B58" s="70" t="inlineStr">
        <is>
          <t>39</t>
        </is>
      </c>
      <c r="C58" s="70" t="inlineStr">
        <is>
          <t>00111001</t>
        </is>
      </c>
      <c r="D58" s="70" t="inlineStr">
        <is>
          <t>071</t>
        </is>
      </c>
      <c r="E58" s="70" t="inlineStr">
        <is>
          <t>9</t>
        </is>
      </c>
      <c r="F58" s="70" t="inlineStr"/>
    </row>
    <row r="59">
      <c r="A59" s="71" t="n">
        <v>65</v>
      </c>
      <c r="B59" s="71" t="inlineStr">
        <is>
          <t>41</t>
        </is>
      </c>
      <c r="C59" s="71" t="inlineStr">
        <is>
          <t>01000001</t>
        </is>
      </c>
      <c r="D59" s="71" t="inlineStr">
        <is>
          <t>101</t>
        </is>
      </c>
      <c r="E59" s="71" t="inlineStr">
        <is>
          <t>A</t>
        </is>
      </c>
      <c r="F59" s="71" t="inlineStr"/>
    </row>
    <row r="60">
      <c r="A60" s="70" t="n">
        <v>66</v>
      </c>
      <c r="B60" s="70" t="inlineStr">
        <is>
          <t>42</t>
        </is>
      </c>
      <c r="C60" s="70" t="inlineStr">
        <is>
          <t>01000010</t>
        </is>
      </c>
      <c r="D60" s="70" t="inlineStr">
        <is>
          <t>102</t>
        </is>
      </c>
      <c r="E60" s="70" t="inlineStr">
        <is>
          <t>B</t>
        </is>
      </c>
      <c r="F60" s="70" t="inlineStr"/>
    </row>
    <row r="61">
      <c r="A61" s="71" t="n">
        <v>67</v>
      </c>
      <c r="B61" s="71" t="inlineStr">
        <is>
          <t>43</t>
        </is>
      </c>
      <c r="C61" s="71" t="inlineStr">
        <is>
          <t>01000011</t>
        </is>
      </c>
      <c r="D61" s="71" t="inlineStr">
        <is>
          <t>103</t>
        </is>
      </c>
      <c r="E61" s="71" t="inlineStr">
        <is>
          <t>C</t>
        </is>
      </c>
      <c r="F61" s="71" t="inlineStr"/>
    </row>
    <row r="62">
      <c r="A62" s="70" t="n">
        <v>68</v>
      </c>
      <c r="B62" s="70" t="inlineStr">
        <is>
          <t>44</t>
        </is>
      </c>
      <c r="C62" s="70" t="inlineStr">
        <is>
          <t>01000100</t>
        </is>
      </c>
      <c r="D62" s="70" t="inlineStr">
        <is>
          <t>104</t>
        </is>
      </c>
      <c r="E62" s="70" t="inlineStr">
        <is>
          <t>D</t>
        </is>
      </c>
      <c r="F62" s="70" t="inlineStr"/>
    </row>
    <row r="63">
      <c r="A63" s="71" t="n">
        <v>69</v>
      </c>
      <c r="B63" s="71" t="inlineStr">
        <is>
          <t>45</t>
        </is>
      </c>
      <c r="C63" s="71" t="inlineStr">
        <is>
          <t>01000101</t>
        </is>
      </c>
      <c r="D63" s="71" t="inlineStr">
        <is>
          <t>105</t>
        </is>
      </c>
      <c r="E63" s="71" t="inlineStr">
        <is>
          <t>E</t>
        </is>
      </c>
      <c r="F63" s="71" t="inlineStr"/>
    </row>
    <row r="64">
      <c r="A64" s="70" t="n">
        <v>70</v>
      </c>
      <c r="B64" s="70" t="inlineStr">
        <is>
          <t>46</t>
        </is>
      </c>
      <c r="C64" s="70" t="inlineStr">
        <is>
          <t>01000110</t>
        </is>
      </c>
      <c r="D64" s="70" t="inlineStr">
        <is>
          <t>106</t>
        </is>
      </c>
      <c r="E64" s="70" t="inlineStr">
        <is>
          <t>F</t>
        </is>
      </c>
      <c r="F64" s="70" t="inlineStr"/>
    </row>
    <row r="65">
      <c r="A65" s="71" t="n">
        <v>71</v>
      </c>
      <c r="B65" s="71" t="inlineStr">
        <is>
          <t>47</t>
        </is>
      </c>
      <c r="C65" s="71" t="inlineStr">
        <is>
          <t>01000111</t>
        </is>
      </c>
      <c r="D65" s="71" t="inlineStr">
        <is>
          <t>107</t>
        </is>
      </c>
      <c r="E65" s="71" t="inlineStr">
        <is>
          <t>G</t>
        </is>
      </c>
      <c r="F65" s="71" t="inlineStr"/>
    </row>
    <row r="66">
      <c r="A66" s="70" t="n">
        <v>72</v>
      </c>
      <c r="B66" s="70" t="inlineStr">
        <is>
          <t>48</t>
        </is>
      </c>
      <c r="C66" s="70" t="inlineStr">
        <is>
          <t>01001000</t>
        </is>
      </c>
      <c r="D66" s="70" t="inlineStr">
        <is>
          <t>110</t>
        </is>
      </c>
      <c r="E66" s="70" t="inlineStr">
        <is>
          <t>H</t>
        </is>
      </c>
      <c r="F66" s="70" t="inlineStr"/>
    </row>
    <row r="67">
      <c r="A67" s="71" t="n">
        <v>73</v>
      </c>
      <c r="B67" s="71" t="inlineStr">
        <is>
          <t>49</t>
        </is>
      </c>
      <c r="C67" s="71" t="inlineStr">
        <is>
          <t>01001001</t>
        </is>
      </c>
      <c r="D67" s="71" t="inlineStr">
        <is>
          <t>111</t>
        </is>
      </c>
      <c r="E67" s="71" t="inlineStr">
        <is>
          <t>I</t>
        </is>
      </c>
      <c r="F67" s="71" t="inlineStr"/>
    </row>
    <row r="68">
      <c r="A68" s="70" t="n">
        <v>74</v>
      </c>
      <c r="B68" s="70" t="inlineStr">
        <is>
          <t>4A</t>
        </is>
      </c>
      <c r="C68" s="70" t="inlineStr">
        <is>
          <t>01001010</t>
        </is>
      </c>
      <c r="D68" s="70" t="inlineStr">
        <is>
          <t>112</t>
        </is>
      </c>
      <c r="E68" s="70" t="inlineStr">
        <is>
          <t>J</t>
        </is>
      </c>
      <c r="F68" s="70" t="inlineStr"/>
    </row>
    <row r="69">
      <c r="A69" s="71" t="n">
        <v>75</v>
      </c>
      <c r="B69" s="71" t="inlineStr">
        <is>
          <t>4B</t>
        </is>
      </c>
      <c r="C69" s="71" t="inlineStr">
        <is>
          <t>01001011</t>
        </is>
      </c>
      <c r="D69" s="71" t="inlineStr">
        <is>
          <t>113</t>
        </is>
      </c>
      <c r="E69" s="71" t="inlineStr">
        <is>
          <t>K</t>
        </is>
      </c>
      <c r="F69" s="71" t="inlineStr">
        <is>
          <t>EBCDIC .</t>
        </is>
      </c>
    </row>
    <row r="70">
      <c r="A70" s="70" t="n">
        <v>76</v>
      </c>
      <c r="B70" s="70" t="inlineStr">
        <is>
          <t>4C</t>
        </is>
      </c>
      <c r="C70" s="70" t="inlineStr">
        <is>
          <t>01001100</t>
        </is>
      </c>
      <c r="D70" s="70" t="inlineStr">
        <is>
          <t>114</t>
        </is>
      </c>
      <c r="E70" s="70" t="inlineStr">
        <is>
          <t>L</t>
        </is>
      </c>
      <c r="F70" s="70" t="inlineStr"/>
    </row>
    <row r="71">
      <c r="A71" s="71" t="n">
        <v>77</v>
      </c>
      <c r="B71" s="71" t="inlineStr">
        <is>
          <t>4D</t>
        </is>
      </c>
      <c r="C71" s="71" t="inlineStr">
        <is>
          <t>01001101</t>
        </is>
      </c>
      <c r="D71" s="71" t="inlineStr">
        <is>
          <t>115</t>
        </is>
      </c>
      <c r="E71" s="71" t="inlineStr">
        <is>
          <t>M</t>
        </is>
      </c>
      <c r="F71" s="71" t="inlineStr"/>
    </row>
    <row r="72">
      <c r="A72" s="70" t="n">
        <v>78</v>
      </c>
      <c r="B72" s="70" t="inlineStr">
        <is>
          <t>4E</t>
        </is>
      </c>
      <c r="C72" s="70" t="inlineStr">
        <is>
          <t>01001110</t>
        </is>
      </c>
      <c r="D72" s="70" t="inlineStr">
        <is>
          <t>116</t>
        </is>
      </c>
      <c r="E72" s="70" t="inlineStr">
        <is>
          <t>N</t>
        </is>
      </c>
      <c r="F72" s="70" t="inlineStr"/>
    </row>
    <row r="73">
      <c r="A73" s="71" t="n">
        <v>79</v>
      </c>
      <c r="B73" s="71" t="inlineStr">
        <is>
          <t>4F</t>
        </is>
      </c>
      <c r="C73" s="71" t="inlineStr">
        <is>
          <t>01001111</t>
        </is>
      </c>
      <c r="D73" s="71" t="inlineStr">
        <is>
          <t>117</t>
        </is>
      </c>
      <c r="E73" s="71" t="inlineStr">
        <is>
          <t>O</t>
        </is>
      </c>
      <c r="F73" s="71" t="inlineStr"/>
    </row>
    <row r="74">
      <c r="A74" s="70" t="n">
        <v>80</v>
      </c>
      <c r="B74" s="70" t="inlineStr">
        <is>
          <t>50</t>
        </is>
      </c>
      <c r="C74" s="70" t="inlineStr">
        <is>
          <t>01010000</t>
        </is>
      </c>
      <c r="D74" s="70" t="inlineStr">
        <is>
          <t>120</t>
        </is>
      </c>
      <c r="E74" s="70" t="inlineStr">
        <is>
          <t>P</t>
        </is>
      </c>
      <c r="F74" s="70" t="inlineStr"/>
    </row>
    <row r="75">
      <c r="A75" s="71" t="n">
        <v>81</v>
      </c>
      <c r="B75" s="71" t="inlineStr">
        <is>
          <t>51</t>
        </is>
      </c>
      <c r="C75" s="71" t="inlineStr">
        <is>
          <t>01010001</t>
        </is>
      </c>
      <c r="D75" s="71" t="inlineStr">
        <is>
          <t>121</t>
        </is>
      </c>
      <c r="E75" s="71" t="inlineStr">
        <is>
          <t>Q</t>
        </is>
      </c>
      <c r="F75" s="71" t="inlineStr"/>
    </row>
    <row r="76">
      <c r="A76" s="70" t="n">
        <v>82</v>
      </c>
      <c r="B76" s="70" t="inlineStr">
        <is>
          <t>52</t>
        </is>
      </c>
      <c r="C76" s="70" t="inlineStr">
        <is>
          <t>01010010</t>
        </is>
      </c>
      <c r="D76" s="70" t="inlineStr">
        <is>
          <t>122</t>
        </is>
      </c>
      <c r="E76" s="70" t="inlineStr">
        <is>
          <t>R</t>
        </is>
      </c>
      <c r="F76" s="70" t="inlineStr"/>
    </row>
    <row r="77">
      <c r="A77" s="71" t="n">
        <v>83</v>
      </c>
      <c r="B77" s="71" t="inlineStr">
        <is>
          <t>53</t>
        </is>
      </c>
      <c r="C77" s="71" t="inlineStr">
        <is>
          <t>01010011</t>
        </is>
      </c>
      <c r="D77" s="71" t="inlineStr">
        <is>
          <t>123</t>
        </is>
      </c>
      <c r="E77" s="71" t="inlineStr">
        <is>
          <t>S</t>
        </is>
      </c>
      <c r="F77" s="71" t="inlineStr"/>
    </row>
    <row r="78">
      <c r="A78" s="70" t="n">
        <v>84</v>
      </c>
      <c r="B78" s="70" t="inlineStr">
        <is>
          <t>54</t>
        </is>
      </c>
      <c r="C78" s="70" t="inlineStr">
        <is>
          <t>01010100</t>
        </is>
      </c>
      <c r="D78" s="70" t="inlineStr">
        <is>
          <t>124</t>
        </is>
      </c>
      <c r="E78" s="70" t="inlineStr">
        <is>
          <t>T</t>
        </is>
      </c>
      <c r="F78" s="70" t="inlineStr"/>
    </row>
    <row r="79">
      <c r="A79" s="71" t="n">
        <v>85</v>
      </c>
      <c r="B79" s="71" t="inlineStr">
        <is>
          <t>55</t>
        </is>
      </c>
      <c r="C79" s="71" t="inlineStr">
        <is>
          <t>01010101</t>
        </is>
      </c>
      <c r="D79" s="71" t="inlineStr">
        <is>
          <t>125</t>
        </is>
      </c>
      <c r="E79" s="71" t="inlineStr">
        <is>
          <t>U</t>
        </is>
      </c>
      <c r="F79" s="71" t="inlineStr"/>
    </row>
    <row r="80">
      <c r="A80" s="70" t="n">
        <v>86</v>
      </c>
      <c r="B80" s="70" t="inlineStr">
        <is>
          <t>56</t>
        </is>
      </c>
      <c r="C80" s="70" t="inlineStr">
        <is>
          <t>01010110</t>
        </is>
      </c>
      <c r="D80" s="70" t="inlineStr">
        <is>
          <t>126</t>
        </is>
      </c>
      <c r="E80" s="70" t="inlineStr">
        <is>
          <t>V</t>
        </is>
      </c>
      <c r="F80" s="70" t="inlineStr"/>
    </row>
    <row r="81">
      <c r="A81" s="71" t="n">
        <v>87</v>
      </c>
      <c r="B81" s="71" t="inlineStr">
        <is>
          <t>57</t>
        </is>
      </c>
      <c r="C81" s="71" t="inlineStr">
        <is>
          <t>01010111</t>
        </is>
      </c>
      <c r="D81" s="71" t="inlineStr">
        <is>
          <t>127</t>
        </is>
      </c>
      <c r="E81" s="71" t="inlineStr">
        <is>
          <t>W</t>
        </is>
      </c>
      <c r="F81" s="71" t="inlineStr"/>
    </row>
    <row r="82">
      <c r="A82" s="70" t="n">
        <v>88</v>
      </c>
      <c r="B82" s="70" t="inlineStr">
        <is>
          <t>58</t>
        </is>
      </c>
      <c r="C82" s="70" t="inlineStr">
        <is>
          <t>01011000</t>
        </is>
      </c>
      <c r="D82" s="70" t="inlineStr">
        <is>
          <t>130</t>
        </is>
      </c>
      <c r="E82" s="70" t="inlineStr">
        <is>
          <t>X</t>
        </is>
      </c>
      <c r="F82" s="70" t="inlineStr"/>
    </row>
    <row r="83">
      <c r="A83" s="71" t="n">
        <v>89</v>
      </c>
      <c r="B83" s="71" t="inlineStr">
        <is>
          <t>59</t>
        </is>
      </c>
      <c r="C83" s="71" t="inlineStr">
        <is>
          <t>01011001</t>
        </is>
      </c>
      <c r="D83" s="71" t="inlineStr">
        <is>
          <t>131</t>
        </is>
      </c>
      <c r="E83" s="71" t="inlineStr">
        <is>
          <t>Y</t>
        </is>
      </c>
      <c r="F83" s="71" t="inlineStr"/>
    </row>
    <row r="84">
      <c r="A84" s="70" t="n">
        <v>90</v>
      </c>
      <c r="B84" s="70" t="inlineStr">
        <is>
          <t>5A</t>
        </is>
      </c>
      <c r="C84" s="70" t="inlineStr">
        <is>
          <t>01011010</t>
        </is>
      </c>
      <c r="D84" s="70" t="inlineStr">
        <is>
          <t>132</t>
        </is>
      </c>
      <c r="E84" s="70" t="inlineStr">
        <is>
          <t>Z</t>
        </is>
      </c>
      <c r="F84" s="70" t="inlineStr"/>
    </row>
    <row r="85">
      <c r="A85" s="71" t="n">
        <v>97</v>
      </c>
      <c r="B85" s="71" t="inlineStr">
        <is>
          <t>61</t>
        </is>
      </c>
      <c r="C85" s="71" t="inlineStr">
        <is>
          <t>01100001</t>
        </is>
      </c>
      <c r="D85" s="71" t="inlineStr">
        <is>
          <t>141</t>
        </is>
      </c>
      <c r="E85" s="71" t="inlineStr">
        <is>
          <t>a</t>
        </is>
      </c>
      <c r="F85" s="71" t="inlineStr">
        <is>
          <t>EBCDIC /</t>
        </is>
      </c>
    </row>
    <row r="86">
      <c r="A86" s="70" t="n">
        <v>98</v>
      </c>
      <c r="B86" s="70" t="inlineStr">
        <is>
          <t>62</t>
        </is>
      </c>
      <c r="C86" s="70" t="inlineStr">
        <is>
          <t>01100010</t>
        </is>
      </c>
      <c r="D86" s="70" t="inlineStr">
        <is>
          <t>142</t>
        </is>
      </c>
      <c r="E86" s="70" t="inlineStr">
        <is>
          <t>b</t>
        </is>
      </c>
      <c r="F86" s="70" t="inlineStr"/>
    </row>
    <row r="87">
      <c r="A87" s="71" t="n">
        <v>99</v>
      </c>
      <c r="B87" s="71" t="inlineStr">
        <is>
          <t>63</t>
        </is>
      </c>
      <c r="C87" s="71" t="inlineStr">
        <is>
          <t>01100011</t>
        </is>
      </c>
      <c r="D87" s="71" t="inlineStr">
        <is>
          <t>143</t>
        </is>
      </c>
      <c r="E87" s="71" t="inlineStr">
        <is>
          <t>c</t>
        </is>
      </c>
      <c r="F87" s="71" t="inlineStr"/>
    </row>
    <row r="88">
      <c r="A88" s="70" t="n">
        <v>100</v>
      </c>
      <c r="B88" s="70" t="inlineStr">
        <is>
          <t>64</t>
        </is>
      </c>
      <c r="C88" s="70" t="inlineStr">
        <is>
          <t>01100100</t>
        </is>
      </c>
      <c r="D88" s="70" t="inlineStr">
        <is>
          <t>144</t>
        </is>
      </c>
      <c r="E88" s="70" t="inlineStr">
        <is>
          <t>d</t>
        </is>
      </c>
      <c r="F88" s="70" t="inlineStr"/>
    </row>
    <row r="89">
      <c r="A89" s="71" t="n">
        <v>101</v>
      </c>
      <c r="B89" s="71" t="inlineStr">
        <is>
          <t>65</t>
        </is>
      </c>
      <c r="C89" s="71" t="inlineStr">
        <is>
          <t>01100101</t>
        </is>
      </c>
      <c r="D89" s="71" t="inlineStr">
        <is>
          <t>145</t>
        </is>
      </c>
      <c r="E89" s="71" t="inlineStr">
        <is>
          <t>e</t>
        </is>
      </c>
      <c r="F89" s="71" t="inlineStr"/>
    </row>
    <row r="90">
      <c r="A90" s="70" t="n">
        <v>102</v>
      </c>
      <c r="B90" s="70" t="inlineStr">
        <is>
          <t>66</t>
        </is>
      </c>
      <c r="C90" s="70" t="inlineStr">
        <is>
          <t>01100110</t>
        </is>
      </c>
      <c r="D90" s="70" t="inlineStr">
        <is>
          <t>146</t>
        </is>
      </c>
      <c r="E90" s="70" t="inlineStr">
        <is>
          <t>f</t>
        </is>
      </c>
      <c r="F90" s="70" t="inlineStr"/>
    </row>
    <row r="91">
      <c r="A91" s="71" t="n">
        <v>103</v>
      </c>
      <c r="B91" s="71" t="inlineStr">
        <is>
          <t>67</t>
        </is>
      </c>
      <c r="C91" s="71" t="inlineStr">
        <is>
          <t>01100111</t>
        </is>
      </c>
      <c r="D91" s="71" t="inlineStr">
        <is>
          <t>147</t>
        </is>
      </c>
      <c r="E91" s="71" t="inlineStr">
        <is>
          <t>g</t>
        </is>
      </c>
      <c r="F91" s="71" t="inlineStr"/>
    </row>
    <row r="92">
      <c r="A92" s="70" t="n">
        <v>104</v>
      </c>
      <c r="B92" s="70" t="inlineStr">
        <is>
          <t>68</t>
        </is>
      </c>
      <c r="C92" s="70" t="inlineStr">
        <is>
          <t>01101000</t>
        </is>
      </c>
      <c r="D92" s="70" t="inlineStr">
        <is>
          <t>150</t>
        </is>
      </c>
      <c r="E92" s="70" t="inlineStr">
        <is>
          <t>h</t>
        </is>
      </c>
      <c r="F92" s="70" t="inlineStr"/>
    </row>
    <row r="93">
      <c r="A93" s="71" t="n">
        <v>105</v>
      </c>
      <c r="B93" s="71" t="inlineStr">
        <is>
          <t>69</t>
        </is>
      </c>
      <c r="C93" s="71" t="inlineStr">
        <is>
          <t>01101001</t>
        </is>
      </c>
      <c r="D93" s="71" t="inlineStr">
        <is>
          <t>151</t>
        </is>
      </c>
      <c r="E93" s="71" t="inlineStr">
        <is>
          <t>i</t>
        </is>
      </c>
      <c r="F93" s="71" t="inlineStr"/>
    </row>
    <row r="94">
      <c r="A94" s="70" t="n">
        <v>106</v>
      </c>
      <c r="B94" s="70" t="inlineStr">
        <is>
          <t>6A</t>
        </is>
      </c>
      <c r="C94" s="70" t="inlineStr">
        <is>
          <t>01101010</t>
        </is>
      </c>
      <c r="D94" s="70" t="inlineStr">
        <is>
          <t>152</t>
        </is>
      </c>
      <c r="E94" s="70" t="inlineStr">
        <is>
          <t>j</t>
        </is>
      </c>
      <c r="F94" s="70" t="inlineStr"/>
    </row>
    <row r="95">
      <c r="A95" s="71" t="n">
        <v>107</v>
      </c>
      <c r="B95" s="71" t="inlineStr">
        <is>
          <t>6B</t>
        </is>
      </c>
      <c r="C95" s="71" t="inlineStr">
        <is>
          <t>01101011</t>
        </is>
      </c>
      <c r="D95" s="71" t="inlineStr">
        <is>
          <t>153</t>
        </is>
      </c>
      <c r="E95" s="71" t="inlineStr">
        <is>
          <t>k</t>
        </is>
      </c>
      <c r="F95" s="71" t="inlineStr"/>
    </row>
    <row r="96">
      <c r="A96" s="70" t="n">
        <v>108</v>
      </c>
      <c r="B96" s="70" t="inlineStr">
        <is>
          <t>6C</t>
        </is>
      </c>
      <c r="C96" s="70" t="inlineStr">
        <is>
          <t>01101100</t>
        </is>
      </c>
      <c r="D96" s="70" t="inlineStr">
        <is>
          <t>154</t>
        </is>
      </c>
      <c r="E96" s="70" t="inlineStr">
        <is>
          <t>l</t>
        </is>
      </c>
      <c r="F96" s="70" t="inlineStr"/>
    </row>
    <row r="97">
      <c r="A97" s="71" t="n">
        <v>109</v>
      </c>
      <c r="B97" s="71" t="inlineStr">
        <is>
          <t>6D</t>
        </is>
      </c>
      <c r="C97" s="71" t="inlineStr">
        <is>
          <t>01101101</t>
        </is>
      </c>
      <c r="D97" s="71" t="inlineStr">
        <is>
          <t>155</t>
        </is>
      </c>
      <c r="E97" s="71" t="inlineStr">
        <is>
          <t>m</t>
        </is>
      </c>
      <c r="F97" s="71" t="inlineStr"/>
    </row>
    <row r="98">
      <c r="A98" s="70" t="n">
        <v>110</v>
      </c>
      <c r="B98" s="70" t="inlineStr">
        <is>
          <t>6E</t>
        </is>
      </c>
      <c r="C98" s="70" t="inlineStr">
        <is>
          <t>01101110</t>
        </is>
      </c>
      <c r="D98" s="70" t="inlineStr">
        <is>
          <t>156</t>
        </is>
      </c>
      <c r="E98" s="70" t="inlineStr">
        <is>
          <t>n</t>
        </is>
      </c>
      <c r="F98" s="70" t="inlineStr"/>
    </row>
    <row r="99">
      <c r="A99" s="71" t="n">
        <v>111</v>
      </c>
      <c r="B99" s="71" t="inlineStr">
        <is>
          <t>6F</t>
        </is>
      </c>
      <c r="C99" s="71" t="inlineStr">
        <is>
          <t>01101111</t>
        </is>
      </c>
      <c r="D99" s="71" t="inlineStr">
        <is>
          <t>157</t>
        </is>
      </c>
      <c r="E99" s="71" t="inlineStr">
        <is>
          <t>o</t>
        </is>
      </c>
      <c r="F99" s="71" t="inlineStr"/>
    </row>
    <row r="100">
      <c r="A100" s="70" t="n">
        <v>112</v>
      </c>
      <c r="B100" s="70" t="inlineStr">
        <is>
          <t>70</t>
        </is>
      </c>
      <c r="C100" s="70" t="inlineStr">
        <is>
          <t>01110000</t>
        </is>
      </c>
      <c r="D100" s="70" t="inlineStr">
        <is>
          <t>160</t>
        </is>
      </c>
      <c r="E100" s="70" t="inlineStr">
        <is>
          <t>p</t>
        </is>
      </c>
      <c r="F100" s="70" t="inlineStr"/>
    </row>
    <row r="101">
      <c r="A101" s="71" t="n">
        <v>113</v>
      </c>
      <c r="B101" s="71" t="inlineStr">
        <is>
          <t>71</t>
        </is>
      </c>
      <c r="C101" s="71" t="inlineStr">
        <is>
          <t>01110001</t>
        </is>
      </c>
      <c r="D101" s="71" t="inlineStr">
        <is>
          <t>161</t>
        </is>
      </c>
      <c r="E101" s="71" t="inlineStr">
        <is>
          <t>q</t>
        </is>
      </c>
      <c r="F101" s="71" t="inlineStr"/>
    </row>
    <row r="102">
      <c r="A102" s="70" t="n">
        <v>114</v>
      </c>
      <c r="B102" s="70" t="inlineStr">
        <is>
          <t>72</t>
        </is>
      </c>
      <c r="C102" s="70" t="inlineStr">
        <is>
          <t>01110010</t>
        </is>
      </c>
      <c r="D102" s="70" t="inlineStr">
        <is>
          <t>162</t>
        </is>
      </c>
      <c r="E102" s="70" t="inlineStr">
        <is>
          <t>r</t>
        </is>
      </c>
      <c r="F102" s="70" t="inlineStr"/>
    </row>
    <row r="103">
      <c r="A103" s="71" t="n">
        <v>115</v>
      </c>
      <c r="B103" s="71" t="inlineStr">
        <is>
          <t>73</t>
        </is>
      </c>
      <c r="C103" s="71" t="inlineStr">
        <is>
          <t>01110011</t>
        </is>
      </c>
      <c r="D103" s="71" t="inlineStr">
        <is>
          <t>163</t>
        </is>
      </c>
      <c r="E103" s="71" t="inlineStr">
        <is>
          <t>s</t>
        </is>
      </c>
      <c r="F103" s="71" t="inlineStr"/>
    </row>
    <row r="104">
      <c r="A104" s="70" t="n">
        <v>116</v>
      </c>
      <c r="B104" s="70" t="inlineStr">
        <is>
          <t>74</t>
        </is>
      </c>
      <c r="C104" s="70" t="inlineStr">
        <is>
          <t>01110100</t>
        </is>
      </c>
      <c r="D104" s="70" t="inlineStr">
        <is>
          <t>164</t>
        </is>
      </c>
      <c r="E104" s="70" t="inlineStr">
        <is>
          <t>t</t>
        </is>
      </c>
      <c r="F104" s="70" t="inlineStr"/>
    </row>
    <row r="105">
      <c r="A105" s="71" t="n">
        <v>117</v>
      </c>
      <c r="B105" s="71" t="inlineStr">
        <is>
          <t>75</t>
        </is>
      </c>
      <c r="C105" s="71" t="inlineStr">
        <is>
          <t>01110101</t>
        </is>
      </c>
      <c r="D105" s="71" t="inlineStr">
        <is>
          <t>165</t>
        </is>
      </c>
      <c r="E105" s="71" t="inlineStr">
        <is>
          <t>u</t>
        </is>
      </c>
      <c r="F105" s="71" t="inlineStr"/>
    </row>
    <row r="106">
      <c r="A106" s="70" t="n">
        <v>118</v>
      </c>
      <c r="B106" s="70" t="inlineStr">
        <is>
          <t>76</t>
        </is>
      </c>
      <c r="C106" s="70" t="inlineStr">
        <is>
          <t>01110110</t>
        </is>
      </c>
      <c r="D106" s="70" t="inlineStr">
        <is>
          <t>166</t>
        </is>
      </c>
      <c r="E106" s="70" t="inlineStr">
        <is>
          <t>v</t>
        </is>
      </c>
      <c r="F106" s="70" t="inlineStr"/>
    </row>
    <row r="107">
      <c r="A107" s="71" t="n">
        <v>119</v>
      </c>
      <c r="B107" s="71" t="inlineStr">
        <is>
          <t>77</t>
        </is>
      </c>
      <c r="C107" s="71" t="inlineStr">
        <is>
          <t>01110111</t>
        </is>
      </c>
      <c r="D107" s="71" t="inlineStr">
        <is>
          <t>167</t>
        </is>
      </c>
      <c r="E107" s="71" t="inlineStr">
        <is>
          <t>w</t>
        </is>
      </c>
      <c r="F107" s="71" t="inlineStr"/>
    </row>
    <row r="108">
      <c r="A108" s="70" t="n">
        <v>120</v>
      </c>
      <c r="B108" s="70" t="inlineStr">
        <is>
          <t>78</t>
        </is>
      </c>
      <c r="C108" s="70" t="inlineStr">
        <is>
          <t>01111000</t>
        </is>
      </c>
      <c r="D108" s="70" t="inlineStr">
        <is>
          <t>170</t>
        </is>
      </c>
      <c r="E108" s="70" t="inlineStr">
        <is>
          <t>x</t>
        </is>
      </c>
      <c r="F108" s="70" t="inlineStr"/>
    </row>
    <row r="109">
      <c r="A109" s="71" t="n">
        <v>121</v>
      </c>
      <c r="B109" s="71" t="inlineStr">
        <is>
          <t>79</t>
        </is>
      </c>
      <c r="C109" s="71" t="inlineStr">
        <is>
          <t>01111001</t>
        </is>
      </c>
      <c r="D109" s="71" t="inlineStr">
        <is>
          <t>171</t>
        </is>
      </c>
      <c r="E109" s="71" t="inlineStr">
        <is>
          <t>y</t>
        </is>
      </c>
      <c r="F109" s="71" t="inlineStr"/>
    </row>
    <row r="110">
      <c r="A110" s="70" t="n">
        <v>122</v>
      </c>
      <c r="B110" s="70" t="inlineStr">
        <is>
          <t>7A</t>
        </is>
      </c>
      <c r="C110" s="70" t="inlineStr">
        <is>
          <t>01111010</t>
        </is>
      </c>
      <c r="D110" s="70" t="inlineStr">
        <is>
          <t>172</t>
        </is>
      </c>
      <c r="E110" s="70" t="inlineStr">
        <is>
          <t>z</t>
        </is>
      </c>
      <c r="F110" s="70" t="inlineStr">
        <is>
          <t>EBCDIC :</t>
        </is>
      </c>
    </row>
    <row r="111">
      <c r="A111" s="71" t="n">
        <v>127</v>
      </c>
      <c r="B111" s="71" t="inlineStr">
        <is>
          <t>7F</t>
        </is>
      </c>
      <c r="C111" s="71" t="inlineStr">
        <is>
          <t>01111111</t>
        </is>
      </c>
      <c r="D111" s="71" t="inlineStr">
        <is>
          <t>177</t>
        </is>
      </c>
      <c r="E111" s="71" t="inlineStr">
        <is>
          <t>DEL</t>
        </is>
      </c>
      <c r="F111" s="71" t="inlineStr"/>
    </row>
    <row r="112">
      <c r="A112" s="70" t="n">
        <v>240</v>
      </c>
      <c r="B112" s="70" t="inlineStr">
        <is>
          <t>F0</t>
        </is>
      </c>
      <c r="C112" s="70" t="inlineStr">
        <is>
          <t>11110000</t>
        </is>
      </c>
      <c r="D112" s="70" t="inlineStr">
        <is>
          <t>360</t>
        </is>
      </c>
      <c r="E112" s="70" t="inlineStr">
        <is>
          <t>\xF0</t>
        </is>
      </c>
      <c r="F112" s="70" t="inlineStr">
        <is>
          <t>EBCDIC 0</t>
        </is>
      </c>
    </row>
    <row r="113">
      <c r="A113" s="71" t="n">
        <v>241</v>
      </c>
      <c r="B113" s="71" t="inlineStr">
        <is>
          <t>F1</t>
        </is>
      </c>
      <c r="C113" s="71" t="inlineStr">
        <is>
          <t>11110001</t>
        </is>
      </c>
      <c r="D113" s="71" t="inlineStr">
        <is>
          <t>361</t>
        </is>
      </c>
      <c r="E113" s="71" t="inlineStr">
        <is>
          <t>\xF1</t>
        </is>
      </c>
      <c r="F113" s="71" t="inlineStr">
        <is>
          <t>EBCDIC 1</t>
        </is>
      </c>
    </row>
    <row r="114">
      <c r="A114" s="70" t="n">
        <v>242</v>
      </c>
      <c r="B114" s="70" t="inlineStr">
        <is>
          <t>F2</t>
        </is>
      </c>
      <c r="C114" s="70" t="inlineStr">
        <is>
          <t>11110010</t>
        </is>
      </c>
      <c r="D114" s="70" t="inlineStr">
        <is>
          <t>362</t>
        </is>
      </c>
      <c r="E114" s="70" t="inlineStr">
        <is>
          <t>\xF2</t>
        </is>
      </c>
      <c r="F114" s="70" t="inlineStr"/>
    </row>
    <row r="115">
      <c r="A115" s="71" t="n">
        <v>249</v>
      </c>
      <c r="B115" s="71" t="inlineStr">
        <is>
          <t>F9</t>
        </is>
      </c>
      <c r="C115" s="71" t="inlineStr">
        <is>
          <t>11111001</t>
        </is>
      </c>
      <c r="D115" s="71" t="inlineStr">
        <is>
          <t>371</t>
        </is>
      </c>
      <c r="E115" s="71" t="inlineStr">
        <is>
          <t>\xF9</t>
        </is>
      </c>
      <c r="F115" s="71" t="inlineStr"/>
    </row>
  </sheetData>
  <mergeCells count="12">
    <mergeCell ref="A2:F2"/>
    <mergeCell ref="B12:F12"/>
    <mergeCell ref="B7:F7"/>
    <mergeCell ref="B6:F6"/>
    <mergeCell ref="A14:F14"/>
    <mergeCell ref="B10:F10"/>
    <mergeCell ref="A1:F1"/>
    <mergeCell ref="B11:F11"/>
    <mergeCell ref="B5:F5"/>
    <mergeCell ref="A4:F4"/>
    <mergeCell ref="B8:F8"/>
    <mergeCell ref="B9:F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36" customWidth="1" min="5" max="5"/>
    <col width="30" customWidth="1" min="6" max="6"/>
    <col width="8" customWidth="1" min="7" max="7"/>
  </cols>
  <sheetData>
    <row r="1" ht="30" customHeight="1">
      <c r="A1" s="27" t="inlineStr">
        <is>
          <t>COBOL / Mainframe Date Format Reference</t>
        </is>
      </c>
    </row>
    <row r="2">
      <c r="A2" s="36" t="inlineStr">
        <is>
          <t>Mainframe dates have no single standard — always document the format in your copybook! Yellow cells are editable inputs.</t>
        </is>
      </c>
    </row>
    <row r="3">
      <c r="A3" s="32" t="inlineStr">
        <is>
          <t>Common Date Formats</t>
        </is>
      </c>
    </row>
    <row r="4">
      <c r="A4" s="29" t="inlineStr">
        <is>
          <t>Format Name</t>
        </is>
      </c>
      <c r="B4" s="29" t="inlineStr">
        <is>
          <t>PIC Clause</t>
        </is>
      </c>
      <c r="C4" s="29" t="inlineStr">
        <is>
          <t>Example Value</t>
        </is>
      </c>
      <c r="D4" s="29" t="inlineStr">
        <is>
          <t>Layout</t>
        </is>
      </c>
      <c r="E4" s="29" t="inlineStr">
        <is>
          <t>Notes</t>
        </is>
      </c>
      <c r="F4" s="29" t="inlineStr">
        <is>
          <t>COBOL FUNCTION</t>
        </is>
      </c>
      <c r="G4" s="29" t="inlineStr">
        <is>
          <t>Bytes</t>
        </is>
      </c>
    </row>
    <row r="5">
      <c r="A5" s="31" t="inlineStr">
        <is>
          <t>YYYYMMDD (ISO)</t>
        </is>
      </c>
      <c r="B5" s="38" t="inlineStr">
        <is>
          <t>9(8)</t>
        </is>
      </c>
      <c r="C5" s="72" t="inlineStr">
        <is>
          <t>20260508</t>
        </is>
      </c>
      <c r="D5" s="31" t="inlineStr">
        <is>
          <t>YYYY MM DD</t>
        </is>
      </c>
      <c r="E5" s="31" t="inlineStr">
        <is>
          <t>Most common. Use FUNCTION INTEGER-OF-DATE to convert.</t>
        </is>
      </c>
      <c r="F5" s="31" t="inlineStr">
        <is>
          <t>FUNCTION INTEGER-OF-DATE</t>
        </is>
      </c>
      <c r="G5" s="38" t="n">
        <v>8</v>
      </c>
    </row>
    <row r="6">
      <c r="A6" s="30" t="inlineStr">
        <is>
          <t>YYMMDD</t>
        </is>
      </c>
      <c r="B6" s="41" t="inlineStr">
        <is>
          <t>9(6)</t>
        </is>
      </c>
      <c r="C6" s="73" t="inlineStr">
        <is>
          <t>260508</t>
        </is>
      </c>
      <c r="D6" s="30" t="inlineStr">
        <is>
          <t>YY MM DD</t>
        </is>
      </c>
      <c r="E6" s="30" t="inlineStr">
        <is>
          <t>2-digit year – Y2K risk! Windowing needed.</t>
        </is>
      </c>
      <c r="F6" s="30" t="inlineStr">
        <is>
          <t>None (manual windowing)</t>
        </is>
      </c>
      <c r="G6" s="41" t="n">
        <v>6</v>
      </c>
    </row>
    <row r="7">
      <c r="A7" s="31" t="inlineStr">
        <is>
          <t>DDMMYYYY (EU)</t>
        </is>
      </c>
      <c r="B7" s="38" t="inlineStr">
        <is>
          <t>9(8)</t>
        </is>
      </c>
      <c r="C7" s="72" t="inlineStr">
        <is>
          <t>08052026</t>
        </is>
      </c>
      <c r="D7" s="31" t="inlineStr">
        <is>
          <t>DD MM YYYY</t>
        </is>
      </c>
      <c r="E7" s="31" t="inlineStr">
        <is>
          <t>Common in European mainframe systems.</t>
        </is>
      </c>
      <c r="F7" s="31" t="inlineStr">
        <is>
          <t>None (reformat manually)</t>
        </is>
      </c>
      <c r="G7" s="38" t="n">
        <v>8</v>
      </c>
    </row>
    <row r="8">
      <c r="A8" s="30" t="inlineStr">
        <is>
          <t>MMDDYYYY (US)</t>
        </is>
      </c>
      <c r="B8" s="41" t="inlineStr">
        <is>
          <t>9(8)</t>
        </is>
      </c>
      <c r="C8" s="73" t="inlineStr">
        <is>
          <t>05082026</t>
        </is>
      </c>
      <c r="D8" s="30" t="inlineStr">
        <is>
          <t>MM DD YYYY</t>
        </is>
      </c>
      <c r="E8" s="30" t="inlineStr">
        <is>
          <t>US format – rare in COBOL batch.</t>
        </is>
      </c>
      <c r="F8" s="30" t="inlineStr">
        <is>
          <t>None (reformat manually)</t>
        </is>
      </c>
      <c r="G8" s="41" t="n">
        <v>8</v>
      </c>
    </row>
    <row r="9">
      <c r="A9" s="31" t="inlineStr">
        <is>
          <t>Julian YYYYDDD</t>
        </is>
      </c>
      <c r="B9" s="38" t="inlineStr">
        <is>
          <t>9(7)</t>
        </is>
      </c>
      <c r="C9" s="72" t="inlineStr">
        <is>
          <t>2026128</t>
        </is>
      </c>
      <c r="D9" s="31" t="inlineStr">
        <is>
          <t>YYYY DDD</t>
        </is>
      </c>
      <c r="E9" s="31" t="inlineStr">
        <is>
          <t>Day-of-year 001-366. Use FUNCTION DAY-OF-INTEGER.</t>
        </is>
      </c>
      <c r="F9" s="31" t="inlineStr">
        <is>
          <t>FUNCTION DAY-OF-INTEGER</t>
        </is>
      </c>
      <c r="G9" s="38" t="n">
        <v>7</v>
      </c>
    </row>
    <row r="10">
      <c r="A10" s="30" t="inlineStr">
        <is>
          <t>Julian YYDDD</t>
        </is>
      </c>
      <c r="B10" s="41" t="inlineStr">
        <is>
          <t>9(5)</t>
        </is>
      </c>
      <c r="C10" s="73" t="inlineStr">
        <is>
          <t>26128</t>
        </is>
      </c>
      <c r="D10" s="30" t="inlineStr">
        <is>
          <t>YY DDD</t>
        </is>
      </c>
      <c r="E10" s="30" t="inlineStr">
        <is>
          <t>2-digit Julian – Y2K risk.</t>
        </is>
      </c>
      <c r="F10" s="30" t="inlineStr">
        <is>
          <t>None (manual windowing)</t>
        </is>
      </c>
      <c r="G10" s="41" t="n">
        <v>5</v>
      </c>
    </row>
    <row r="11">
      <c r="A11" s="31" t="inlineStr">
        <is>
          <t>Packed YYYYMMDD</t>
        </is>
      </c>
      <c r="B11" s="38" t="inlineStr">
        <is>
          <t>S9(8) COMP-3</t>
        </is>
      </c>
      <c r="C11" s="72" t="inlineStr">
        <is>
          <t>20260508</t>
        </is>
      </c>
      <c r="D11" s="31" t="inlineStr">
        <is>
          <t>YYYY MM DD packed</t>
        </is>
      </c>
      <c r="E11" s="31" t="inlineStr">
        <is>
          <t>8 digits packed → 5 bytes. Common in DB2 tables.</t>
        </is>
      </c>
      <c r="F11" s="31" t="inlineStr">
        <is>
          <t>FUNCTION INTEGER-OF-DATE</t>
        </is>
      </c>
      <c r="G11" s="38" t="n">
        <v>5</v>
      </c>
    </row>
    <row r="12">
      <c r="A12" s="30" t="inlineStr">
        <is>
          <t>YYYY-MM-DD (SQL)</t>
        </is>
      </c>
      <c r="B12" s="41" t="inlineStr">
        <is>
          <t>X(10)</t>
        </is>
      </c>
      <c r="C12" s="73" t="inlineStr">
        <is>
          <t>2026-05-08</t>
        </is>
      </c>
      <c r="D12" s="30" t="inlineStr">
        <is>
          <t>YYYY-MM-DD</t>
        </is>
      </c>
      <c r="E12" s="30" t="inlineStr">
        <is>
          <t>With hyphens – used in DB2 DATE column display.</t>
        </is>
      </c>
      <c r="F12" s="30" t="inlineStr">
        <is>
          <t>N/A (string)</t>
        </is>
      </c>
      <c r="G12" s="41" t="n">
        <v>10</v>
      </c>
    </row>
    <row r="13">
      <c r="A13" s="31" t="inlineStr">
        <is>
          <t>Lilian Date</t>
        </is>
      </c>
      <c r="B13" s="38" t="inlineStr">
        <is>
          <t>9(9)</t>
        </is>
      </c>
      <c r="C13" s="72" t="inlineStr">
        <is>
          <t>152519</t>
        </is>
      </c>
      <c r="D13" s="31" t="inlineStr">
        <is>
          <t>Integer days since 14-Oct-1582</t>
        </is>
      </c>
      <c r="E13" s="31" t="inlineStr">
        <is>
          <t>COBOL FUNCTION INTEGER-OF-DATE returns Lilian.</t>
        </is>
      </c>
      <c r="F13" s="31" t="inlineStr">
        <is>
          <t>FUNCTION INTEGER-OF-DATE</t>
        </is>
      </c>
      <c r="G13" s="38" t="n">
        <v>9</v>
      </c>
    </row>
    <row r="14">
      <c r="A14" s="30" t="inlineStr">
        <is>
          <t>COBOL CENTURY-DATE</t>
        </is>
      </c>
      <c r="B14" s="41" t="inlineStr">
        <is>
          <t>9(8)</t>
        </is>
      </c>
      <c r="C14" s="73" t="inlineStr">
        <is>
          <t>20260508</t>
        </is>
      </c>
      <c r="D14" s="30" t="inlineStr">
        <is>
          <t>YYYYMMDD via ACCEPT</t>
        </is>
      </c>
      <c r="E14" s="30" t="inlineStr">
        <is>
          <t>ACCEPT WS-DATE FROM DATE YYYYMMDD.</t>
        </is>
      </c>
      <c r="F14" s="30" t="inlineStr">
        <is>
          <t>ACCEPT … FROM DATE YYYYMMDD</t>
        </is>
      </c>
      <c r="G14" s="41" t="n">
        <v>8</v>
      </c>
    </row>
    <row r="15">
      <c r="A15" s="31" t="inlineStr">
        <is>
          <t>COBOL CENTURY-DAY</t>
        </is>
      </c>
      <c r="B15" s="38" t="inlineStr">
        <is>
          <t>9(7)</t>
        </is>
      </c>
      <c r="C15" s="72" t="inlineStr">
        <is>
          <t>2026128</t>
        </is>
      </c>
      <c r="D15" s="31" t="inlineStr">
        <is>
          <t>YYYYDDD via ACCEPT</t>
        </is>
      </c>
      <c r="E15" s="31" t="inlineStr">
        <is>
          <t>ACCEPT WS-DAY FROM DAY YYYYDDD.</t>
        </is>
      </c>
      <c r="F15" s="31" t="inlineStr">
        <is>
          <t>ACCEPT … FROM DAY YYYYDDD</t>
        </is>
      </c>
      <c r="G15" s="38" t="n">
        <v>7</v>
      </c>
    </row>
    <row r="18">
      <c r="A18" s="32" t="inlineStr">
        <is>
          <t>Date Calculator</t>
        </is>
      </c>
    </row>
    <row r="19">
      <c r="A19" s="33" t="inlineStr">
        <is>
          <t>Input date (YYYY-MM-DD)</t>
        </is>
      </c>
      <c r="B19" s="74" t="inlineStr">
        <is>
          <t>2026-05-08</t>
        </is>
      </c>
    </row>
    <row r="20">
      <c r="A20" s="33" t="inlineStr">
        <is>
          <t>Days to add / subtract</t>
        </is>
      </c>
      <c r="B20" s="34" t="n">
        <v>30</v>
      </c>
    </row>
    <row r="21">
      <c r="A21" s="33" t="inlineStr">
        <is>
          <t>Result date</t>
        </is>
      </c>
      <c r="B21" s="35">
        <f>IFERROR(TEXT(DATEVALUE(B19)+B20,"YYYY-MM-DD"),"Invalid date")</f>
        <v/>
      </c>
    </row>
    <row r="22">
      <c r="A22" s="33" t="inlineStr">
        <is>
          <t>Day of week (1=Mon)</t>
        </is>
      </c>
      <c r="B22" s="35">
        <f>IFERROR(TEXT(WEEKDAY(DATEVALUE(B19),2),"0")&amp;" ("&amp;TEXT(DATEVALUE(B19),"DDDD")&amp;")","Err")</f>
        <v/>
      </c>
    </row>
    <row r="23">
      <c r="A23" s="33" t="inlineStr">
        <is>
          <t>Days between (A and B)</t>
        </is>
      </c>
      <c r="B23" s="35" t="n"/>
    </row>
    <row r="24">
      <c r="A24" s="33" t="inlineStr">
        <is>
          <t>Input date B (YYYY-MM-DD)</t>
        </is>
      </c>
      <c r="B24" s="74" t="inlineStr">
        <is>
          <t>2026-12-31</t>
        </is>
      </c>
    </row>
    <row r="25">
      <c r="A25" s="33" t="inlineStr">
        <is>
          <t>Days A→B</t>
        </is>
      </c>
      <c r="B25" s="35">
        <f>IFERROR(DATEVALUE(B24)-DATEVALUE(B19),"Invalid dates")</f>
        <v/>
      </c>
    </row>
  </sheetData>
  <mergeCells count="11">
    <mergeCell ref="B24:G24"/>
    <mergeCell ref="B19:G19"/>
    <mergeCell ref="B20:G20"/>
    <mergeCell ref="A1:G1"/>
    <mergeCell ref="A18:G18"/>
    <mergeCell ref="B22:G22"/>
    <mergeCell ref="A3:G3"/>
    <mergeCell ref="B23:G23"/>
    <mergeCell ref="A2:G2"/>
    <mergeCell ref="B21:G21"/>
    <mergeCell ref="B25:G2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8" customWidth="1" min="3" max="3"/>
    <col width="32" customWidth="1" min="4" max="4"/>
    <col width="34" customWidth="1" min="5" max="5"/>
    <col width="44" customWidth="1" min="6" max="6"/>
  </cols>
  <sheetData>
    <row r="1" ht="30" customHeight="1">
      <c r="A1" s="27" t="inlineStr">
        <is>
          <t>COBOL Verb Quick Reference (COBOL 85 / 2002 / 2014)</t>
        </is>
      </c>
    </row>
    <row r="2" customHeight="1"/>
    <row r="3">
      <c r="A3" s="29" t="inlineStr">
        <is>
          <t>Verb</t>
        </is>
      </c>
      <c r="B3" s="29" t="inlineStr">
        <is>
          <t>Division / Section</t>
        </is>
      </c>
      <c r="C3" s="29" t="inlineStr">
        <is>
          <t>Syntax Skeleton</t>
        </is>
      </c>
      <c r="D3" s="29" t="inlineStr">
        <is>
          <t>Description</t>
        </is>
      </c>
      <c r="E3" s="29" t="inlineStr">
        <is>
          <t>Key Clauses</t>
        </is>
      </c>
      <c r="F3" s="29" t="inlineStr">
        <is>
          <t>Example</t>
        </is>
      </c>
    </row>
    <row r="4" ht="32" customHeight="1">
      <c r="A4" s="75" t="inlineStr">
        <is>
          <t>MOVE</t>
        </is>
      </c>
      <c r="B4" s="30" t="inlineStr">
        <is>
          <t>PROCEDURE</t>
        </is>
      </c>
      <c r="C4" s="76" t="inlineStr">
        <is>
          <t>MOVE src TO dest</t>
        </is>
      </c>
      <c r="D4" s="30" t="inlineStr">
        <is>
          <t>Copy data between fields</t>
        </is>
      </c>
      <c r="E4" s="30" t="inlineStr">
        <is>
          <t>CORRESPONDING (MOVE CORR)</t>
        </is>
      </c>
      <c r="F4" s="77" t="inlineStr">
        <is>
          <t>MOVE WS-TOTAL TO RPT-TOTAL</t>
        </is>
      </c>
    </row>
    <row r="5" ht="32" customHeight="1">
      <c r="A5" s="78" t="inlineStr">
        <is>
          <t>ADD</t>
        </is>
      </c>
      <c r="B5" s="31" t="inlineStr">
        <is>
          <t>PROCEDURE</t>
        </is>
      </c>
      <c r="C5" s="79" t="inlineStr">
        <is>
          <t>ADD a b … TO dest [GIVING g]</t>
        </is>
      </c>
      <c r="D5" s="31" t="inlineStr">
        <is>
          <t>Add one or more values</t>
        </is>
      </c>
      <c r="E5" s="31" t="inlineStr">
        <is>
          <t>GIVING, ROUNDED, ON SIZE ERROR</t>
        </is>
      </c>
      <c r="F5" s="80" t="inlineStr">
        <is>
          <t>ADD WS-A WS-B TO WS-TOTAL GIVING WS-SUM</t>
        </is>
      </c>
    </row>
    <row r="6" ht="32" customHeight="1">
      <c r="A6" s="75" t="inlineStr">
        <is>
          <t>SUBTRACT</t>
        </is>
      </c>
      <c r="B6" s="30" t="inlineStr">
        <is>
          <t>PROCEDURE</t>
        </is>
      </c>
      <c r="C6" s="76" t="inlineStr">
        <is>
          <t>SUBTRACT a FROM dest [GIVING g]</t>
        </is>
      </c>
      <c r="D6" s="30" t="inlineStr">
        <is>
          <t>Subtract value from field</t>
        </is>
      </c>
      <c r="E6" s="30" t="inlineStr">
        <is>
          <t>GIVING, ROUNDED, ON SIZE ERROR</t>
        </is>
      </c>
      <c r="F6" s="77" t="inlineStr">
        <is>
          <t>SUBTRACT WS-TAX FROM WS-GROSS GIVING WS-NET</t>
        </is>
      </c>
    </row>
    <row r="7" ht="32" customHeight="1">
      <c r="A7" s="78" t="inlineStr">
        <is>
          <t>MULTIPLY</t>
        </is>
      </c>
      <c r="B7" s="31" t="inlineStr">
        <is>
          <t>PROCEDURE</t>
        </is>
      </c>
      <c r="C7" s="79" t="inlineStr">
        <is>
          <t>MULTIPLY a BY dest [GIVING g]</t>
        </is>
      </c>
      <c r="D7" s="31" t="inlineStr">
        <is>
          <t>Multiply two values</t>
        </is>
      </c>
      <c r="E7" s="31" t="inlineStr">
        <is>
          <t>GIVING, ROUNDED, ON SIZE ERROR</t>
        </is>
      </c>
      <c r="F7" s="80" t="inlineStr">
        <is>
          <t>MULTIPLY WS-QTY BY WS-PRICE GIVING WS-AMT</t>
        </is>
      </c>
    </row>
    <row r="8" ht="32" customHeight="1">
      <c r="A8" s="75" t="inlineStr">
        <is>
          <t>DIVIDE</t>
        </is>
      </c>
      <c r="B8" s="30" t="inlineStr">
        <is>
          <t>PROCEDURE</t>
        </is>
      </c>
      <c r="C8" s="76" t="inlineStr">
        <is>
          <t>DIVIDE a INTO dest [GIVING g] [REMAINDER r]</t>
        </is>
      </c>
      <c r="D8" s="30" t="inlineStr">
        <is>
          <t>Divide; optionally capture remainder</t>
        </is>
      </c>
      <c r="E8" s="30" t="inlineStr">
        <is>
          <t>GIVING, REMAINDER, ON SIZE ERROR</t>
        </is>
      </c>
      <c r="F8" s="77" t="inlineStr">
        <is>
          <t>DIVIDE WS-COUNT INTO WS-TOTAL GIVING WS-AVG</t>
        </is>
      </c>
    </row>
    <row r="9" ht="32" customHeight="1">
      <c r="A9" s="78" t="inlineStr">
        <is>
          <t>COMPUTE</t>
        </is>
      </c>
      <c r="B9" s="31" t="inlineStr">
        <is>
          <t>PROCEDURE</t>
        </is>
      </c>
      <c r="C9" s="79" t="inlineStr">
        <is>
          <t>COMPUTE dest [ROUNDED] = expr</t>
        </is>
      </c>
      <c r="D9" s="31" t="inlineStr">
        <is>
          <t>Evaluate arithmetic expression</t>
        </is>
      </c>
      <c r="E9" s="31" t="inlineStr">
        <is>
          <t>ROUNDED, ON SIZE ERROR</t>
        </is>
      </c>
      <c r="F9" s="80" t="inlineStr">
        <is>
          <t>COMPUTE WS-RESULT = (WS-A + WS-B) * 1.1</t>
        </is>
      </c>
    </row>
    <row r="10" ht="32" customHeight="1">
      <c r="A10" s="75" t="inlineStr">
        <is>
          <t>IF</t>
        </is>
      </c>
      <c r="B10" s="30" t="inlineStr">
        <is>
          <t>PROCEDURE</t>
        </is>
      </c>
      <c r="C10" s="76" t="inlineStr">
        <is>
          <t>IF cond [THEN] … [ELSE] … END-IF</t>
        </is>
      </c>
      <c r="D10" s="30" t="inlineStr">
        <is>
          <t>Conditional execution</t>
        </is>
      </c>
      <c r="E10" s="30" t="inlineStr">
        <is>
          <t>ELSE, END-IF, nested IF</t>
        </is>
      </c>
      <c r="F10" s="77" t="inlineStr">
        <is>
          <t>IF WS-STATUS = 'A' MOVE 'Active' TO OUT-STATUS END-IF</t>
        </is>
      </c>
    </row>
    <row r="11" ht="32" customHeight="1">
      <c r="A11" s="78" t="inlineStr">
        <is>
          <t>EVALUATE</t>
        </is>
      </c>
      <c r="B11" s="31" t="inlineStr">
        <is>
          <t>PROCEDURE</t>
        </is>
      </c>
      <c r="C11" s="79" t="inlineStr">
        <is>
          <t>EVALUATE var WHEN val … END-EVALUATE</t>
        </is>
      </c>
      <c r="D11" s="31" t="inlineStr">
        <is>
          <t>Multi-way branch (like switch/case)</t>
        </is>
      </c>
      <c r="E11" s="31" t="inlineStr">
        <is>
          <t>WHEN OTHER, ALSO, TRUE</t>
        </is>
      </c>
      <c r="F11" s="80" t="inlineStr">
        <is>
          <t>EVALUATE WS-CODE
  WHEN 'A' PERFORM PROC-A
  WHEN OTHER PERFORM PROC-ERR
END-EVALUATE</t>
        </is>
      </c>
    </row>
    <row r="12" ht="32" customHeight="1">
      <c r="A12" s="75" t="inlineStr">
        <is>
          <t>PERFORM</t>
        </is>
      </c>
      <c r="B12" s="30" t="inlineStr">
        <is>
          <t>PROCEDURE</t>
        </is>
      </c>
      <c r="C12" s="76" t="inlineStr">
        <is>
          <t>PERFORM para [UNTIL/TIMES/VARYING]</t>
        </is>
      </c>
      <c r="D12" s="30" t="inlineStr">
        <is>
          <t>Call paragraph or inline loop</t>
        </is>
      </c>
      <c r="E12" s="30" t="inlineStr">
        <is>
          <t>UNTIL, TIMES, VARYING, THRU, WITH TEST BEFORE/AFTER</t>
        </is>
      </c>
      <c r="F12" s="77" t="inlineStr">
        <is>
          <t>PERFORM PROC-READ UNTIL WS-EOF = 'Y'</t>
        </is>
      </c>
    </row>
    <row r="13" ht="32" customHeight="1">
      <c r="A13" s="78" t="inlineStr">
        <is>
          <t>READ</t>
        </is>
      </c>
      <c r="B13" s="31" t="inlineStr">
        <is>
          <t>PROCEDURE</t>
        </is>
      </c>
      <c r="C13" s="79" t="inlineStr">
        <is>
          <t>READ file-name [NEXT] [INTO ws-var]</t>
        </is>
      </c>
      <c r="D13" s="31" t="inlineStr">
        <is>
          <t>Read next record from file</t>
        </is>
      </c>
      <c r="E13" s="31" t="inlineStr">
        <is>
          <t>AT END, NOT AT END, INTO, KEY IS</t>
        </is>
      </c>
      <c r="F13" s="80" t="inlineStr">
        <is>
          <t>READ INFILE INTO WS-REC AT END MOVE 'Y' TO WS-EOF END-READ</t>
        </is>
      </c>
    </row>
    <row r="14" ht="32" customHeight="1">
      <c r="A14" s="75" t="inlineStr">
        <is>
          <t>WRITE</t>
        </is>
      </c>
      <c r="B14" s="30" t="inlineStr">
        <is>
          <t>PROCEDURE</t>
        </is>
      </c>
      <c r="C14" s="76" t="inlineStr">
        <is>
          <t>WRITE record-name [FROM ws-var]</t>
        </is>
      </c>
      <c r="D14" s="30" t="inlineStr">
        <is>
          <t>Write record to file</t>
        </is>
      </c>
      <c r="E14" s="30" t="inlineStr">
        <is>
          <t>FROM, BEFORE/AFTER ADVANCING, INVALID KEY</t>
        </is>
      </c>
      <c r="F14" s="77" t="inlineStr">
        <is>
          <t>WRITE OUT-REC FROM WS-DATA INVALID KEY PERFORM ERR-RTN END-WRITE</t>
        </is>
      </c>
    </row>
    <row r="15" ht="32" customHeight="1">
      <c r="A15" s="78" t="inlineStr">
        <is>
          <t>REWRITE</t>
        </is>
      </c>
      <c r="B15" s="31" t="inlineStr">
        <is>
          <t>PROCEDURE</t>
        </is>
      </c>
      <c r="C15" s="79" t="inlineStr">
        <is>
          <t>REWRITE record-name [FROM ws-var]</t>
        </is>
      </c>
      <c r="D15" s="31" t="inlineStr">
        <is>
          <t>Update current record (I-O files)</t>
        </is>
      </c>
      <c r="E15" s="31" t="inlineStr">
        <is>
          <t>FROM, INVALID KEY</t>
        </is>
      </c>
      <c r="F15" s="80" t="inlineStr">
        <is>
          <t>REWRITE EMP-REC FROM WS-EMP-DATA END-REWRITE</t>
        </is>
      </c>
    </row>
    <row r="16" ht="32" customHeight="1">
      <c r="A16" s="75" t="inlineStr">
        <is>
          <t>DELETE</t>
        </is>
      </c>
      <c r="B16" s="30" t="inlineStr">
        <is>
          <t>PROCEDURE</t>
        </is>
      </c>
      <c r="C16" s="76" t="inlineStr">
        <is>
          <t>DELETE file-name RECORD</t>
        </is>
      </c>
      <c r="D16" s="30" t="inlineStr">
        <is>
          <t>Delete current or keyed record</t>
        </is>
      </c>
      <c r="E16" s="30" t="inlineStr">
        <is>
          <t>INVALID KEY</t>
        </is>
      </c>
      <c r="F16" s="77" t="inlineStr">
        <is>
          <t>DELETE EMPFILE RECORD INVALID KEY PERFORM ERR-DEL END-DELETE</t>
        </is>
      </c>
    </row>
    <row r="17" ht="32" customHeight="1">
      <c r="A17" s="78" t="inlineStr">
        <is>
          <t>START</t>
        </is>
      </c>
      <c r="B17" s="31" t="inlineStr">
        <is>
          <t>PROCEDURE</t>
        </is>
      </c>
      <c r="C17" s="79" t="inlineStr">
        <is>
          <t>START file KEY IS [=/&gt;/&lt;] key-field</t>
        </is>
      </c>
      <c r="D17" s="31" t="inlineStr">
        <is>
          <t>Position cursor in indexed file</t>
        </is>
      </c>
      <c r="E17" s="31" t="inlineStr">
        <is>
          <t>KEY IS EQUAL / GREATER / NOT LESS</t>
        </is>
      </c>
      <c r="F17" s="80" t="inlineStr">
        <is>
          <t>START EMPFILE KEY &gt;= EMP-ID INVALID KEY PERFORM ERR-START</t>
        </is>
      </c>
    </row>
    <row r="18" ht="32" customHeight="1">
      <c r="A18" s="75" t="inlineStr">
        <is>
          <t>OPEN</t>
        </is>
      </c>
      <c r="B18" s="30" t="inlineStr">
        <is>
          <t>PROCEDURE</t>
        </is>
      </c>
      <c r="C18" s="76" t="inlineStr">
        <is>
          <t>OPEN INPUT|OUTPUT|I-O|EXTEND file</t>
        </is>
      </c>
      <c r="D18" s="30" t="inlineStr">
        <is>
          <t>Open a file for processing</t>
        </is>
      </c>
      <c r="E18" s="30" t="inlineStr">
        <is>
          <t>INPUT, OUTPUT, I-O, EXTEND</t>
        </is>
      </c>
      <c r="F18" s="77" t="inlineStr">
        <is>
          <t>OPEN INPUT INFILE OUTPUT OUTFILE</t>
        </is>
      </c>
    </row>
    <row r="19" ht="32" customHeight="1">
      <c r="A19" s="78" t="inlineStr">
        <is>
          <t>CLOSE</t>
        </is>
      </c>
      <c r="B19" s="31" t="inlineStr">
        <is>
          <t>PROCEDURE</t>
        </is>
      </c>
      <c r="C19" s="79" t="inlineStr">
        <is>
          <t>CLOSE file [WITH LOCK]</t>
        </is>
      </c>
      <c r="D19" s="31" t="inlineStr">
        <is>
          <t>Close file and release resources</t>
        </is>
      </c>
      <c r="E19" s="31" t="inlineStr">
        <is>
          <t>WITH LOCK (prevents re-open)</t>
        </is>
      </c>
      <c r="F19" s="80" t="inlineStr">
        <is>
          <t>CLOSE INFILE OUTFILE</t>
        </is>
      </c>
    </row>
    <row r="20" ht="32" customHeight="1">
      <c r="A20" s="75" t="inlineStr">
        <is>
          <t>STOP RUN</t>
        </is>
      </c>
      <c r="B20" s="30" t="inlineStr">
        <is>
          <t>PROCEDURE</t>
        </is>
      </c>
      <c r="C20" s="76" t="inlineStr">
        <is>
          <t>STOP RUN</t>
        </is>
      </c>
      <c r="D20" s="30" t="inlineStr">
        <is>
          <t>Terminate program and return to OS</t>
        </is>
      </c>
      <c r="E20" s="30" t="inlineStr">
        <is>
          <t>—</t>
        </is>
      </c>
      <c r="F20" s="77" t="inlineStr">
        <is>
          <t>STOP RUN</t>
        </is>
      </c>
    </row>
    <row r="21" ht="32" customHeight="1">
      <c r="A21" s="78" t="inlineStr">
        <is>
          <t>GOBACK</t>
        </is>
      </c>
      <c r="B21" s="31" t="inlineStr">
        <is>
          <t>PROCEDURE</t>
        </is>
      </c>
      <c r="C21" s="79" t="inlineStr">
        <is>
          <t>GOBACK</t>
        </is>
      </c>
      <c r="D21" s="31" t="inlineStr">
        <is>
          <t>Return to caller (subprogram) or OS (main)</t>
        </is>
      </c>
      <c r="E21" s="31" t="inlineStr">
        <is>
          <t>—</t>
        </is>
      </c>
      <c r="F21" s="80" t="inlineStr">
        <is>
          <t>GOBACK</t>
        </is>
      </c>
    </row>
    <row r="22" ht="32" customHeight="1">
      <c r="A22" s="75" t="inlineStr">
        <is>
          <t>CALL</t>
        </is>
      </c>
      <c r="B22" s="30" t="inlineStr">
        <is>
          <t>PROCEDURE</t>
        </is>
      </c>
      <c r="C22" s="76" t="inlineStr">
        <is>
          <t>CALL 'pgmname' USING param …</t>
        </is>
      </c>
      <c r="D22" s="30" t="inlineStr">
        <is>
          <t>Call external subprogram or function</t>
        </is>
      </c>
      <c r="E22" s="30" t="inlineStr">
        <is>
          <t>USING, BY REFERENCE/VALUE/CONTENT, ON EXCEPTION</t>
        </is>
      </c>
      <c r="F22" s="77" t="inlineStr">
        <is>
          <t>CALL 'SUBRTN01' USING WS-INPUT WS-OUTPUT ON EXCEPTION PERFORM ERR-CALL</t>
        </is>
      </c>
    </row>
    <row r="23" ht="32" customHeight="1">
      <c r="A23" s="78" t="inlineStr">
        <is>
          <t>STRING</t>
        </is>
      </c>
      <c r="B23" s="31" t="inlineStr">
        <is>
          <t>PROCEDURE</t>
        </is>
      </c>
      <c r="C23" s="79" t="inlineStr">
        <is>
          <t>STRING src … DELIMITED BY … INTO dest</t>
        </is>
      </c>
      <c r="D23" s="31" t="inlineStr">
        <is>
          <t>Concatenate strings</t>
        </is>
      </c>
      <c r="E23" s="31" t="inlineStr">
        <is>
          <t>DELIMITED BY, WITH POINTER, ON OVERFLOW</t>
        </is>
      </c>
      <c r="F23" s="80" t="inlineStr">
        <is>
          <t>STRING WS-FIRST DELIMITED BY SPACE '-' DELIMITED BY SIZE INTO WS-FULL</t>
        </is>
      </c>
    </row>
    <row r="24" ht="32" customHeight="1">
      <c r="A24" s="75" t="inlineStr">
        <is>
          <t>UNSTRING</t>
        </is>
      </c>
      <c r="B24" s="30" t="inlineStr">
        <is>
          <t>PROCEDURE</t>
        </is>
      </c>
      <c r="C24" s="76" t="inlineStr">
        <is>
          <t>UNSTRING src DELIMITED BY delim INTO dest …</t>
        </is>
      </c>
      <c r="D24" s="30" t="inlineStr">
        <is>
          <t>Split string into sub-fields</t>
        </is>
      </c>
      <c r="E24" s="30" t="inlineStr">
        <is>
          <t>DELIMITED BY, INTO, TALLYING, ON OVERFLOW</t>
        </is>
      </c>
      <c r="F24" s="77" t="inlineStr">
        <is>
          <t>UNSTRING WS-CSV DELIMITED BY ',' INTO WS-F1 WS-F2 WS-F3</t>
        </is>
      </c>
    </row>
    <row r="25" ht="32" customHeight="1">
      <c r="A25" s="78" t="inlineStr">
        <is>
          <t>INSPECT</t>
        </is>
      </c>
      <c r="B25" s="31" t="inlineStr">
        <is>
          <t>PROCEDURE</t>
        </is>
      </c>
      <c r="C25" s="79" t="inlineStr">
        <is>
          <t>INSPECT src TALLYING|REPLACING …</t>
        </is>
      </c>
      <c r="D25" s="31" t="inlineStr">
        <is>
          <t>Count or replace characters in string</t>
        </is>
      </c>
      <c r="E25" s="31" t="inlineStr">
        <is>
          <t>TALLYING, REPLACING, CONVERTING</t>
        </is>
      </c>
      <c r="F25" s="80" t="inlineStr">
        <is>
          <t>INSPECT WS-DATA REPLACING ALL SPACES BY ZEROS</t>
        </is>
      </c>
    </row>
    <row r="26" ht="32" customHeight="1">
      <c r="A26" s="75" t="inlineStr">
        <is>
          <t>INITIALIZE</t>
        </is>
      </c>
      <c r="B26" s="30" t="inlineStr">
        <is>
          <t>PROCEDURE</t>
        </is>
      </c>
      <c r="C26" s="76" t="inlineStr">
        <is>
          <t>INITIALIZE var …</t>
        </is>
      </c>
      <c r="D26" s="30" t="inlineStr">
        <is>
          <t>Set fields to type-appropriate defaults</t>
        </is>
      </c>
      <c r="E26" s="30" t="inlineStr">
        <is>
          <t>REPLACING, FILLER, VALUE</t>
        </is>
      </c>
      <c r="F26" s="77" t="inlineStr">
        <is>
          <t>INITIALIZE WS-WORK-AREA</t>
        </is>
      </c>
    </row>
    <row r="27" ht="32" customHeight="1">
      <c r="A27" s="78" t="inlineStr">
        <is>
          <t>SORT</t>
        </is>
      </c>
      <c r="B27" s="31" t="inlineStr">
        <is>
          <t>PROCEDURE</t>
        </is>
      </c>
      <c r="C27" s="79" t="inlineStr">
        <is>
          <t>SORT sort-file ON ASCENDING/DESCENDING KEY …</t>
        </is>
      </c>
      <c r="D27" s="31" t="inlineStr">
        <is>
          <t>Sort internal sort file</t>
        </is>
      </c>
      <c r="E27" s="31" t="inlineStr">
        <is>
          <t>ASCENDING/DESCENDING KEY, USING, GIVING, INPUT/OUTPUT PROCEDURE</t>
        </is>
      </c>
      <c r="F27" s="80" t="inlineStr">
        <is>
          <t>SORT SORTFILE ON ASCENDING KEY SR-KEY USING INFILE GIVING OUTFILE</t>
        </is>
      </c>
    </row>
    <row r="28" ht="32" customHeight="1">
      <c r="A28" s="75" t="inlineStr">
        <is>
          <t>MERGE</t>
        </is>
      </c>
      <c r="B28" s="30" t="inlineStr">
        <is>
          <t>PROCEDURE</t>
        </is>
      </c>
      <c r="C28" s="76" t="inlineStr">
        <is>
          <t>MERGE merge-file ON ASCENDING KEY … USING f1 f2</t>
        </is>
      </c>
      <c r="D28" s="30" t="inlineStr">
        <is>
          <t>Merge pre-sorted files</t>
        </is>
      </c>
      <c r="E28" s="30" t="inlineStr">
        <is>
          <t>ASCENDING/DESCENDING KEY, USING, GIVING</t>
        </is>
      </c>
      <c r="F28" s="77" t="inlineStr">
        <is>
          <t>MERGE MF ON ASCENDING KEY MK USING F1 F2 GIVING OUTF</t>
        </is>
      </c>
    </row>
    <row r="29" ht="32" customHeight="1">
      <c r="A29" s="78" t="inlineStr">
        <is>
          <t>ACCEPT</t>
        </is>
      </c>
      <c r="B29" s="31" t="inlineStr">
        <is>
          <t>PROCEDURE</t>
        </is>
      </c>
      <c r="C29" s="79" t="inlineStr">
        <is>
          <t>ACCEPT var [FROM DATE/DAY/TIME/…]</t>
        </is>
      </c>
      <c r="D29" s="31" t="inlineStr">
        <is>
          <t>Read from console or system source</t>
        </is>
      </c>
      <c r="E29" s="31" t="inlineStr">
        <is>
          <t>FROM DATE YYYYMMDD / DAY / TIME / ENVIRONMENT</t>
        </is>
      </c>
      <c r="F29" s="80" t="inlineStr">
        <is>
          <t>ACCEPT WS-DATE FROM DATE YYYYMMDD</t>
        </is>
      </c>
    </row>
    <row r="30" ht="32" customHeight="1">
      <c r="A30" s="75" t="inlineStr">
        <is>
          <t>DISPLAY</t>
        </is>
      </c>
      <c r="B30" s="30" t="inlineStr">
        <is>
          <t>PROCEDURE</t>
        </is>
      </c>
      <c r="C30" s="76" t="inlineStr">
        <is>
          <t>DISPLAY var …</t>
        </is>
      </c>
      <c r="D30" s="30" t="inlineStr">
        <is>
          <t>Write to console / SYSOUT</t>
        </is>
      </c>
      <c r="E30" s="30" t="inlineStr">
        <is>
          <t>WITH NO ADVANCING</t>
        </is>
      </c>
      <c r="F30" s="77" t="inlineStr">
        <is>
          <t>DISPLAY 'Error at: ' WS-KEY</t>
        </is>
      </c>
    </row>
    <row r="31" ht="32" customHeight="1">
      <c r="A31" s="78" t="inlineStr">
        <is>
          <t>SET</t>
        </is>
      </c>
      <c r="B31" s="31" t="inlineStr">
        <is>
          <t>PROCEDURE</t>
        </is>
      </c>
      <c r="C31" s="79" t="inlineStr">
        <is>
          <t>SET index/condition/ptr TO value</t>
        </is>
      </c>
      <c r="D31" s="31" t="inlineStr">
        <is>
          <t>Assign index, condition-name, or pointer</t>
        </is>
      </c>
      <c r="E31" s="31" t="inlineStr">
        <is>
          <t>TO TRUE, UP BY, DOWN BY</t>
        </is>
      </c>
      <c r="F31" s="80" t="inlineStr">
        <is>
          <t>SET IDX-EMP TO 1</t>
        </is>
      </c>
    </row>
    <row r="32" ht="32" customHeight="1">
      <c r="A32" s="75" t="inlineStr">
        <is>
          <t>SEARCH</t>
        </is>
      </c>
      <c r="B32" s="30" t="inlineStr">
        <is>
          <t>PROCEDURE</t>
        </is>
      </c>
      <c r="C32" s="76" t="inlineStr">
        <is>
          <t>SEARCH table-name WHEN cond … END-SEARCH</t>
        </is>
      </c>
      <c r="D32" s="30" t="inlineStr">
        <is>
          <t>Linear table search</t>
        </is>
      </c>
      <c r="E32" s="30" t="inlineStr">
        <is>
          <t>WHEN, AT END, VARYING</t>
        </is>
      </c>
      <c r="F32" s="77" t="inlineStr">
        <is>
          <t>SEARCH WS-TABLE AT END PERFORM NOT-FND WHEN WS-TBL-KEY(IDX)=WS-KEY CONTINUE</t>
        </is>
      </c>
    </row>
    <row r="33" ht="32" customHeight="1">
      <c r="A33" s="78" t="inlineStr">
        <is>
          <t>SEARCH ALL</t>
        </is>
      </c>
      <c r="B33" s="31" t="inlineStr">
        <is>
          <t>PROCEDURE</t>
        </is>
      </c>
      <c r="C33" s="79" t="inlineStr">
        <is>
          <t>SEARCH ALL table WHEN cond …</t>
        </is>
      </c>
      <c r="D33" s="31" t="inlineStr">
        <is>
          <t>Binary search on sorted table</t>
        </is>
      </c>
      <c r="E33" s="31" t="inlineStr">
        <is>
          <t>WHEN (equality only), AT END</t>
        </is>
      </c>
      <c r="F33" s="80" t="inlineStr">
        <is>
          <t>SEARCH ALL WS-TABLE WHEN WS-T-ID(IDX)=WS-SEARCH-ID PERFORM FOUND-RTN</t>
        </is>
      </c>
    </row>
    <row r="34" ht="32" customHeight="1">
      <c r="A34" s="75" t="inlineStr">
        <is>
          <t>CONTINUE</t>
        </is>
      </c>
      <c r="B34" s="30" t="inlineStr">
        <is>
          <t>PROCEDURE</t>
        </is>
      </c>
      <c r="C34" s="76" t="inlineStr">
        <is>
          <t>CONTINUE</t>
        </is>
      </c>
      <c r="D34" s="30" t="inlineStr">
        <is>
          <t>No-operation placeholder</t>
        </is>
      </c>
      <c r="E34" s="30" t="inlineStr">
        <is>
          <t>—</t>
        </is>
      </c>
      <c r="F34" s="77" t="inlineStr">
        <is>
          <t>WHEN OTHER CONTINUE</t>
        </is>
      </c>
    </row>
    <row r="35" ht="32" customHeight="1">
      <c r="A35" s="78" t="inlineStr">
        <is>
          <t>COPY</t>
        </is>
      </c>
      <c r="B35" s="31" t="inlineStr">
        <is>
          <t>ANY</t>
        </is>
      </c>
      <c r="C35" s="79" t="inlineStr">
        <is>
          <t>COPY copybook-name [REPLACING …]</t>
        </is>
      </c>
      <c r="D35" s="31" t="inlineStr">
        <is>
          <t>Include external copybook source</t>
        </is>
      </c>
      <c r="E35" s="31" t="inlineStr">
        <is>
          <t>REPLACING ==old== BY ==new==</t>
        </is>
      </c>
      <c r="F35" s="80" t="inlineStr">
        <is>
          <t>COPY EMPRECRD REPLACING ==EMPLOYEE== BY ==CONTRACT==</t>
        </is>
      </c>
    </row>
    <row r="36" ht="32" customHeight="1">
      <c r="A36" s="75" t="inlineStr">
        <is>
          <t>WORKING-STORAGE SECTION</t>
        </is>
      </c>
      <c r="B36" s="30" t="inlineStr">
        <is>
          <t>DATA</t>
        </is>
      </c>
      <c r="C36" s="76" t="inlineStr">
        <is>
          <t>01 WS-var PIC ...</t>
        </is>
      </c>
      <c r="D36" s="30" t="inlineStr">
        <is>
          <t>Declare working variables</t>
        </is>
      </c>
      <c r="E36" s="30" t="inlineStr">
        <is>
          <t>REDEFINES, OCCURS, VALUE</t>
        </is>
      </c>
      <c r="F36" s="77" t="inlineStr">
        <is>
          <t>01 WS-COUNTER PIC 9(5) VALUE ZERO</t>
        </is>
      </c>
    </row>
    <row r="37" ht="32" customHeight="1">
      <c r="A37" s="78" t="inlineStr">
        <is>
          <t>FILE SECTION / FD</t>
        </is>
      </c>
      <c r="B37" s="31" t="inlineStr">
        <is>
          <t>DATA</t>
        </is>
      </c>
      <c r="C37" s="79" t="inlineStr">
        <is>
          <t>FD file-name RECORDING MODE F</t>
        </is>
      </c>
      <c r="D37" s="31" t="inlineStr">
        <is>
          <t>File description in DATA DIVISION</t>
        </is>
      </c>
      <c r="E37" s="31" t="inlineStr">
        <is>
          <t>RECORDING MODE, BLOCK CONTAINS, LABEL RECORDS</t>
        </is>
      </c>
      <c r="F37" s="80" t="inlineStr">
        <is>
          <t>FD INFILE RECORDING MODE F.</t>
        </is>
      </c>
    </row>
    <row r="38" ht="32" customHeight="1">
      <c r="A38" s="75" t="inlineStr">
        <is>
          <t>REDEFINES</t>
        </is>
      </c>
      <c r="B38" s="30" t="inlineStr">
        <is>
          <t>DATA</t>
        </is>
      </c>
      <c r="C38" s="76" t="inlineStr">
        <is>
          <t>02 ws-a REDEFINES ws-b PIC …</t>
        </is>
      </c>
      <c r="D38" s="30" t="inlineStr">
        <is>
          <t>Overlay same memory with different layout</t>
        </is>
      </c>
      <c r="E38" s="30" t="inlineStr">
        <is>
          <t>Cannot have VALUE clause</t>
        </is>
      </c>
      <c r="F38" s="77" t="inlineStr">
        <is>
          <t>02 WS-DATE-ALPHA REDEFINES WS-DATE-NUM PIC X(8)</t>
        </is>
      </c>
    </row>
    <row r="39" ht="32" customHeight="1">
      <c r="A39" s="78" t="inlineStr">
        <is>
          <t>OCCURS</t>
        </is>
      </c>
      <c r="B39" s="31" t="inlineStr">
        <is>
          <t>DATA</t>
        </is>
      </c>
      <c r="C39" s="79" t="inlineStr">
        <is>
          <t>n OCCURS n [TO m] TIMES [DEPENDING ON v]</t>
        </is>
      </c>
      <c r="D39" s="31" t="inlineStr">
        <is>
          <t>Declare table (array)</t>
        </is>
      </c>
      <c r="E39" s="31" t="inlineStr">
        <is>
          <t>INDEXED BY, DEPENDING ON (ODO), ASCENDING/DESCENDING KEY</t>
        </is>
      </c>
      <c r="F39" s="80" t="inlineStr">
        <is>
          <t>05 WS-TABLE PIC X(10) OCCURS 100 TIMES INDEXED BY IDX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60" customWidth="1" min="3" max="3"/>
    <col width="52" customWidth="1" min="4" max="4"/>
  </cols>
  <sheetData>
    <row r="1" ht="30" customHeight="1">
      <c r="A1" s="27" t="inlineStr">
        <is>
          <t>DB2 for z/OS — COBOL Embedded SQL Reference</t>
        </is>
      </c>
    </row>
    <row r="2">
      <c r="A2" s="36" t="inlineStr">
        <is>
          <t>All SQL in COBOL must be embedded in EXEC SQL … END-EXEC. Host variables are prefixed with a colon (:var).</t>
        </is>
      </c>
    </row>
    <row r="3">
      <c r="A3" s="29" t="inlineStr">
        <is>
          <t>#</t>
        </is>
      </c>
      <c r="B3" s="29" t="inlineStr">
        <is>
          <t>Topic</t>
        </is>
      </c>
      <c r="C3" s="29" t="inlineStr">
        <is>
          <t>Code / Template</t>
        </is>
      </c>
      <c r="D3" s="29" t="inlineStr">
        <is>
          <t>Notes</t>
        </is>
      </c>
    </row>
    <row r="4" ht="50" customHeight="1">
      <c r="A4" s="57" t="n">
        <v>1</v>
      </c>
      <c r="B4" s="81" t="inlineStr">
        <is>
          <t>SQLCA Declaration</t>
        </is>
      </c>
      <c r="C4" s="59" t="inlineStr">
        <is>
          <t>EXEC SQL
  INCLUDE SQLCA
END-EXEC.</t>
        </is>
      </c>
      <c r="D4" s="30" t="inlineStr">
        <is>
          <t>Required in WORKING-STORAGE. Gives SQLCODE, SQLSTATE, SQLERRM.</t>
        </is>
      </c>
    </row>
    <row r="5" ht="78" customHeight="1">
      <c r="A5" s="60" t="n">
        <v>2</v>
      </c>
      <c r="B5" s="82" t="inlineStr">
        <is>
          <t>Host Variable Declaration</t>
        </is>
      </c>
      <c r="C5" s="59" t="inlineStr">
        <is>
          <t>EXEC SQL BEGIN DECLARE SECTION END-EXEC.
01 WS-EMP-ID     PIC S9(6) COMP.
01 WS-EMP-NAME   PIC X(30).
01 WS-SALARY     PIC S9(7)V99 COMP-3.
EXEC SQL END DECLARE SECTION END-EXEC.</t>
        </is>
      </c>
      <c r="D5" s="31" t="inlineStr">
        <is>
          <t>Host variables must be in the DECLARE SECTION. Match DB2 column types.</t>
        </is>
      </c>
    </row>
    <row r="6" ht="148" customHeight="1">
      <c r="A6" s="57" t="n">
        <v>3</v>
      </c>
      <c r="B6" s="81" t="inlineStr">
        <is>
          <t>SELECT INTO (single row)</t>
        </is>
      </c>
      <c r="C6" s="59" t="inlineStr">
        <is>
          <t>EXEC SQL
  SELECT EMP_NAME, SALARY
  INTO :WS-EMP-NAME, :WS-SALARY
  FROM EMPLOYEE
  WHERE EMP_ID = :WS-EMP-ID
END-EXEC.
IF SQLCODE = 0  CONTINUE
ELSE IF SQLCODE = +100  PERFORM NOT-FOUND-RTN
ELSE                    PERFORM SQL-ERROR-RTN
END-IF.</t>
        </is>
      </c>
      <c r="D6" s="30" t="inlineStr">
        <is>
          <t>Use for single-row retrieval. Always check SQLCODE after every SQL.</t>
        </is>
      </c>
    </row>
    <row r="7" ht="106" customHeight="1">
      <c r="A7" s="60" t="n">
        <v>4</v>
      </c>
      <c r="B7" s="82" t="inlineStr">
        <is>
          <t>CURSOR Declaration</t>
        </is>
      </c>
      <c r="C7" s="59" t="inlineStr">
        <is>
          <t>EXEC SQL
  DECLARE EMP-CSR CURSOR FOR
    SELECT EMP_ID, EMP_NAME, SALARY
    FROM EMPLOYEE
    WHERE DEPT_ID = :WS-DEPT
    ORDER BY EMP_ID
END-EXEC.</t>
        </is>
      </c>
      <c r="D7" s="31" t="inlineStr">
        <is>
          <t>Declare cursor in WORKING-STORAGE or PROCEDURE DIVISION header.</t>
        </is>
      </c>
    </row>
    <row r="8" ht="162" customHeight="1">
      <c r="A8" s="57" t="n">
        <v>5</v>
      </c>
      <c r="B8" s="81" t="inlineStr">
        <is>
          <t>OPEN / FETCH / CLOSE Cursor</t>
        </is>
      </c>
      <c r="C8" s="59" t="inlineStr">
        <is>
          <t>EXEC SQL OPEN EMP-CSR END-EXEC.
PERFORM UNTIL SQLCODE = +100
  EXEC SQL
    FETCH EMP-CSR
    INTO :WS-EMP-ID, :WS-EMP-NAME, :WS-SALARY
  END-EXEC
  IF SQLCODE = 0
    PERFORM PROCESS-ROW
  END-IF
END-PERFORM.
EXEC SQL CLOSE EMP-CSR END-EXEC.</t>
        </is>
      </c>
      <c r="D8" s="30" t="inlineStr">
        <is>
          <t>SQLCODE +100 = no more rows. Always CLOSE cursor when done.</t>
        </is>
      </c>
    </row>
    <row r="9" ht="120" customHeight="1">
      <c r="A9" s="60" t="n">
        <v>6</v>
      </c>
      <c r="B9" s="82" t="inlineStr">
        <is>
          <t>INSERT</t>
        </is>
      </c>
      <c r="C9" s="59" t="inlineStr">
        <is>
          <t>EXEC SQL
  INSERT INTO EMPLOYEE
    (EMP_ID, EMP_NAME, SALARY, HIRE_DATE)
  VALUES
    (:WS-EMP-ID, :WS-EMP-NAME, :WS-SALARY,
     CURRENT DATE)
END-EXEC.
IF SQLCODE NOT = 0 PERFORM SQL-ERROR-RTN END-IF.</t>
        </is>
      </c>
      <c r="D9" s="31" t="inlineStr">
        <is>
          <t>Use CURRENT DATE / CURRENT TIMESTAMP for system timestamps.</t>
        </is>
      </c>
    </row>
    <row r="10" ht="106" customHeight="1">
      <c r="A10" s="57" t="n">
        <v>7</v>
      </c>
      <c r="B10" s="81" t="inlineStr">
        <is>
          <t>UPDATE</t>
        </is>
      </c>
      <c r="C10" s="59" t="inlineStr">
        <is>
          <t>EXEC SQL
  UPDATE EMPLOYEE
  SET SALARY = :WS-SALARY,
      LAST_UPD = CURRENT TIMESTAMP
  WHERE EMP_ID = :WS-EMP-ID
END-EXEC.
IF SQLCODE = +100 PERFORM NOT-FOUND-RTN END-IF.</t>
        </is>
      </c>
      <c r="D10" s="30" t="inlineStr">
        <is>
          <t>SQLCODE +100 means no rows matched WHERE clause.</t>
        </is>
      </c>
    </row>
    <row r="11" ht="78" customHeight="1">
      <c r="A11" s="60" t="n">
        <v>8</v>
      </c>
      <c r="B11" s="82" t="inlineStr">
        <is>
          <t>DELETE</t>
        </is>
      </c>
      <c r="C11" s="59" t="inlineStr">
        <is>
          <t>EXEC SQL
  DELETE FROM EMPLOYEE
  WHERE EMP_ID = :WS-EMP-ID
END-EXEC.
IF SQLCODE = +100 PERFORM NOT-FOUND-RTN END-IF.</t>
        </is>
      </c>
      <c r="D11" s="31" t="inlineStr">
        <is>
          <t>Check SQLERRD(3) for number of rows deleted.</t>
        </is>
      </c>
    </row>
    <row r="12" ht="176" customHeight="1">
      <c r="A12" s="57" t="n">
        <v>9</v>
      </c>
      <c r="B12" s="81" t="inlineStr">
        <is>
          <t>SQLCODE Reference</t>
        </is>
      </c>
      <c r="C12" s="59" t="inlineStr">
        <is>
          <t>SQLCODE =  0   → Success
SQLCODE = +100 → Row not found / EOF
SQLCODE = -180 → Invalid date string
SQLCODE = -302 → Host variable overflow
SQLCODE = -304 → Value too large for column
SQLCODE = -407 → NULL into NOT NULL column
SQLCODE = -501 → Cursor not open
SQLCODE = -803 → Duplicate key / UNIQUE violation
SQLCODE = -904 → Resource unavailable
SQLCODE = -911 → Deadlock / timeout (rolled back)
SQLCODE = -922 → Auth failure
SQLCODE = -30082→ Connection failed</t>
        </is>
      </c>
      <c r="D12" s="30" t="inlineStr">
        <is>
          <t>Always test SQLCODE. Negative = error, positive = warning, 0 = success.</t>
        </is>
      </c>
    </row>
    <row r="13" ht="36" customHeight="1">
      <c r="A13" s="60" t="n">
        <v>10</v>
      </c>
      <c r="B13" s="82" t="inlineStr">
        <is>
          <t>COMMIT / ROLLBACK</t>
        </is>
      </c>
      <c r="C13" s="59" t="inlineStr">
        <is>
          <t>EXEC SQL COMMIT END-EXEC.
EXEC SQL ROLLBACK END-EXEC.</t>
        </is>
      </c>
      <c r="D13" s="31" t="inlineStr">
        <is>
          <t>COMMIT every N records in batch. ROLLBACK on error. Coordinate with CICS UOW.</t>
        </is>
      </c>
    </row>
    <row r="14" ht="106" customHeight="1">
      <c r="A14" s="57" t="n">
        <v>11</v>
      </c>
      <c r="B14" s="81" t="inlineStr">
        <is>
          <t>NULL indicator variable</t>
        </is>
      </c>
      <c r="C14" s="59" t="inlineStr">
        <is>
          <t>01 WS-NULL-IND  PIC S9(4) COMP.
...
EXEC SQL
  SELECT BONUS INTO :WS-BONUS :WS-NULL-IND
  FROM EMPLOYEE WHERE EMP_ID = :WS-EMP-ID
END-EXEC.
IF WS-NULL-IND &lt; 0 MOVE ZERO TO WS-BONUS END-IF.</t>
        </is>
      </c>
      <c r="D14" s="30" t="inlineStr">
        <is>
          <t>Indicator &lt; 0 means NULL. Required for NULLABLE columns.</t>
        </is>
      </c>
    </row>
    <row r="15" ht="148" customHeight="1">
      <c r="A15" s="60" t="n">
        <v>12</v>
      </c>
      <c r="B15" s="82" t="inlineStr">
        <is>
          <t>DB2 Type ↔ COBOL PIC</t>
        </is>
      </c>
      <c r="C15" s="59" t="inlineStr">
        <is>
          <t>CHAR(n)         → PIC X(n)
VARCHAR(n)      → 01 g. 49 len PIC S9(4) COMP. 49 data PIC X(n).
SMALLINT        → PIC S9(4) COMP
INTEGER         → PIC S9(9) COMP
BIGINT          → PIC S9(18) COMP
DECIMAL(p,s)    → PIC S9(p-s)V9(s) COMP-3
FLOAT           → COMP-1 or COMP-2
DATE            → PIC X(10)  (YYYY-MM-DD)
TIME            → PIC X(8)   (HH.MM.SS)
TIMESTAMP       → PIC X(26)  (YYYY-MM-DD-HH.MM.SS.FFFFFF)</t>
        </is>
      </c>
      <c r="D15" s="31" t="inlineStr">
        <is>
          <t>Match COBOL host variable type exactly to avoid SQLCODE -302/-304.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Mainframe Toolkit Generator</dc:creator>
  <dc:title>COBOL / z/OS Mainframe Developer Toolkit</dc:title>
  <dc:subject>COBOL, z/OS, JCL, DB2, Mainframe</dc:subject>
  <dcterms:created xsi:type="dcterms:W3CDTF">2026-05-08T19:00:14Z</dcterms:created>
  <dcterms:modified xsi:type="dcterms:W3CDTF">2026-05-08T19:00:14Z</dcterms:modified>
  <cp:keywords>COBOL COMP-3 EBCDIC JCL DB2 ABEND zOS mainframe</cp:keywords>
</cp:coreProperties>
</file>